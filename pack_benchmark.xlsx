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18.xml" ContentType="application/vnd.openxmlformats-officedocument.drawingml.chart+xml"/>
  <Override PartName="/xl/worksheets/sheet1.xml" ContentType="application/vnd.openxmlformats-officedocument.spreadsheetml.workshee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4.xml" ContentType="application/vnd.openxmlformats-officedocument.drawingml.chart+xml"/>
  <Override PartName="/xl/charts/chart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3.xml" ContentType="application/vnd.openxmlformats-officedocument.drawingml.chart+xml"/>
  <Override PartName="/xl/charts/chart7.xml" ContentType="application/vnd.openxmlformats-officedocument.drawingml.chart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emzar_ucl_ac_uk/Documents/My files/67-ODYSSEV/WP3_Files/Battey Pack Design/Purchased Data/Copy1/"/>
    </mc:Choice>
  </mc:AlternateContent>
  <bookViews>
    <workbookView xWindow="0" yWindow="0" windowWidth="28800" windowHeight="12300" tabRatio="500"/>
  </bookViews>
  <sheets>
    <sheet name="Sheet1" sheetId="2" r:id="rId1"/>
    <sheet name="Packs" sheetId="1" r:id="rId2"/>
  </sheets>
  <definedNames>
    <definedName name="_xlnm._FilterDatabase" localSheetId="1" hidden="1">Packs!$A$3:$FO$1703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P60" i="1" l="1"/>
  <c r="AP59" i="1"/>
  <c r="AP58" i="1"/>
  <c r="FE57" i="1"/>
  <c r="AP57" i="1"/>
  <c r="FE56" i="1"/>
  <c r="AP56" i="1"/>
  <c r="FE55" i="1"/>
  <c r="AP55" i="1"/>
  <c r="FE54" i="1"/>
  <c r="AP54" i="1"/>
  <c r="FE53" i="1"/>
  <c r="AP53" i="1"/>
  <c r="AP52" i="1"/>
  <c r="AP51" i="1"/>
  <c r="AP50" i="1"/>
  <c r="AP49" i="1"/>
  <c r="AP47" i="1"/>
  <c r="AP46" i="1"/>
  <c r="AP45" i="1"/>
  <c r="AP44" i="1"/>
  <c r="AP43" i="1"/>
  <c r="AP42" i="1"/>
  <c r="AP41" i="1"/>
  <c r="AP40" i="1"/>
  <c r="AP39" i="1"/>
  <c r="AP38" i="1"/>
  <c r="EV37" i="1"/>
  <c r="EU37" i="1"/>
  <c r="AP37" i="1"/>
  <c r="AP36" i="1"/>
  <c r="AP35" i="1"/>
  <c r="AP34" i="1"/>
  <c r="AP33" i="1"/>
  <c r="AP32" i="1"/>
  <c r="AP31" i="1"/>
  <c r="AP30" i="1"/>
  <c r="AP29" i="1"/>
  <c r="AP28" i="1"/>
  <c r="AP26" i="1"/>
  <c r="AP25" i="1"/>
  <c r="AP24" i="1"/>
  <c r="AP23" i="1"/>
  <c r="AP22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</calcChain>
</file>

<file path=xl/comments1.xml><?xml version="1.0" encoding="utf-8"?>
<comments xmlns="http://schemas.openxmlformats.org/spreadsheetml/2006/main">
  <authors>
    <author>Unknown Author</author>
  </authors>
  <commentList>
    <comment ref="C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the reference number of the cell in the BatteryDesign.net cell database</t>
        </r>
      </text>
    </comment>
  </commentList>
</comments>
</file>

<file path=xl/sharedStrings.xml><?xml version="1.0" encoding="utf-8"?>
<sst xmlns="http://schemas.openxmlformats.org/spreadsheetml/2006/main" count="801" uniqueCount="365">
  <si>
    <t># data points</t>
  </si>
  <si>
    <t>Manufacturer</t>
  </si>
  <si>
    <t>Model/Pack</t>
  </si>
  <si>
    <t>Manufacturers Code Number</t>
  </si>
  <si>
    <t>Application</t>
  </si>
  <si>
    <t>First produced</t>
  </si>
  <si>
    <t>Energy</t>
  </si>
  <si>
    <t>SoC Window</t>
  </si>
  <si>
    <t>Nominal Voltage</t>
  </si>
  <si>
    <t>Voltage Range</t>
  </si>
  <si>
    <t>Nominal Capacity</t>
  </si>
  <si>
    <t>Pack DCIR
(est from cells)</t>
  </si>
  <si>
    <t>Main Fuse Rating</t>
  </si>
  <si>
    <t>Power</t>
  </si>
  <si>
    <t>Regen Power</t>
  </si>
  <si>
    <t>Charging</t>
  </si>
  <si>
    <t>V2X</t>
  </si>
  <si>
    <t>Swappable</t>
  </si>
  <si>
    <t>Warranty</t>
  </si>
  <si>
    <t>Pack Mass</t>
  </si>
  <si>
    <t>Cell Mass</t>
  </si>
  <si>
    <t>Pack-Cells</t>
  </si>
  <si>
    <t>Cell to Pack Ratio</t>
  </si>
  <si>
    <t>Pack Dimensions</t>
  </si>
  <si>
    <t>Pack Volume</t>
  </si>
  <si>
    <t>Cell Total Volume</t>
  </si>
  <si>
    <t>Enclosure Materials</t>
  </si>
  <si>
    <t>Environment</t>
  </si>
  <si>
    <t>Cooling</t>
  </si>
  <si>
    <t>Gravimetric Energy Density</t>
  </si>
  <si>
    <t>Volumetric Energy Density</t>
  </si>
  <si>
    <t>Gravimetric Power Density</t>
  </si>
  <si>
    <t>Volumetric Power Density</t>
  </si>
  <si>
    <t>Round Trip Efficiency</t>
  </si>
  <si>
    <t>BMS</t>
  </si>
  <si>
    <t>Modules</t>
  </si>
  <si>
    <t>Cell</t>
  </si>
  <si>
    <t>Configuration</t>
  </si>
  <si>
    <t>Generic Estimation of Materials in Pack (top down based on kWh and chemistry)</t>
  </si>
  <si>
    <t>Certification</t>
  </si>
  <si>
    <t>No. Packs 1700</t>
  </si>
  <si>
    <t>kWhusable</t>
  </si>
  <si>
    <t>kWhtotal</t>
  </si>
  <si>
    <t>V</t>
  </si>
  <si>
    <t>Max V</t>
  </si>
  <si>
    <t>Min V</t>
  </si>
  <si>
    <t>Ah</t>
  </si>
  <si>
    <t>Ω10s</t>
  </si>
  <si>
    <t>Ω30s</t>
  </si>
  <si>
    <t>A</t>
  </si>
  <si>
    <t>kW30s</t>
  </si>
  <si>
    <t>A30s</t>
  </si>
  <si>
    <t>kW10s</t>
  </si>
  <si>
    <t>A10s</t>
  </si>
  <si>
    <t>kW5s</t>
  </si>
  <si>
    <t>A5s</t>
  </si>
  <si>
    <t>kWcont</t>
  </si>
  <si>
    <t>Acont</t>
  </si>
  <si>
    <t xml:space="preserve">kWfast </t>
  </si>
  <si>
    <t>Amax</t>
  </si>
  <si>
    <t>minutes (0-100% SoC)</t>
  </si>
  <si>
    <t>minutes (5-80% SoC)</t>
  </si>
  <si>
    <t>minutes (10-80% SoC)</t>
  </si>
  <si>
    <t>minutes (10-70% SoC)</t>
  </si>
  <si>
    <t>minutes (15-80% SoC)</t>
  </si>
  <si>
    <t>minutes (20-80% SoC)</t>
  </si>
  <si>
    <t>minutes (30-80% SoC)</t>
  </si>
  <si>
    <t>V2L</t>
  </si>
  <si>
    <t>Max kW</t>
  </si>
  <si>
    <t>V2G</t>
  </si>
  <si>
    <t>V2H</t>
  </si>
  <si>
    <t>True/False</t>
  </si>
  <si>
    <t>Standard</t>
  </si>
  <si>
    <t>Years</t>
  </si>
  <si>
    <t>Mileage</t>
  </si>
  <si>
    <t>Cycles</t>
  </si>
  <si>
    <t>kg</t>
  </si>
  <si>
    <t>%</t>
  </si>
  <si>
    <t>mm (x)</t>
  </si>
  <si>
    <t>mm (y)</t>
  </si>
  <si>
    <t>mm (z)</t>
  </si>
  <si>
    <t>litres</t>
  </si>
  <si>
    <t>IP Rating</t>
  </si>
  <si>
    <t>Max Temp °C</t>
  </si>
  <si>
    <t>Min Temp °C</t>
  </si>
  <si>
    <t>litres/minute</t>
  </si>
  <si>
    <t>kW</t>
  </si>
  <si>
    <t>Type</t>
  </si>
  <si>
    <t>Wh/kg</t>
  </si>
  <si>
    <t>Wh/litre</t>
  </si>
  <si>
    <t>W10s/kg</t>
  </si>
  <si>
    <t>Wcont/kg
discharge</t>
  </si>
  <si>
    <t>Wcont/kg
charge</t>
  </si>
  <si>
    <t>W10s/litre</t>
  </si>
  <si>
    <t>Wcont/litre</t>
  </si>
  <si>
    <t xml:space="preserve">AC </t>
  </si>
  <si>
    <t>DC</t>
  </si>
  <si>
    <t>Number</t>
  </si>
  <si>
    <t>Cells/module</t>
  </si>
  <si>
    <t>Mass</t>
  </si>
  <si>
    <t>Number of Temperature Sensors</t>
  </si>
  <si>
    <t>Make</t>
  </si>
  <si>
    <t>Model</t>
  </si>
  <si>
    <t>DB Ref</t>
  </si>
  <si>
    <t>Chemistry</t>
  </si>
  <si>
    <t>Format</t>
  </si>
  <si>
    <t>Size</t>
  </si>
  <si>
    <t>Capacity Ah</t>
  </si>
  <si>
    <t>Nom V</t>
  </si>
  <si>
    <t>Energy Wh</t>
  </si>
  <si>
    <t>mass kg</t>
  </si>
  <si>
    <t>DCIR [10s 50% 25°C) Ω</t>
  </si>
  <si>
    <t>DCIR [30s 50% 25°C) Ω</t>
  </si>
  <si>
    <t># packs</t>
  </si>
  <si>
    <t>s</t>
  </si>
  <si>
    <t>p</t>
  </si>
  <si>
    <t>Total Cells</t>
  </si>
  <si>
    <t>Aluminium [kg]</t>
  </si>
  <si>
    <t>Cobalt [kg]</t>
  </si>
  <si>
    <t>Copper [kg]</t>
  </si>
  <si>
    <t>Graphite [kg]</t>
  </si>
  <si>
    <t>Iron [kg]</t>
  </si>
  <si>
    <t>Lithium [kg]</t>
  </si>
  <si>
    <t>Manganese [kg]</t>
  </si>
  <si>
    <t>Nickel [kg]</t>
  </si>
  <si>
    <t>Steel [kg]</t>
  </si>
  <si>
    <t>% of Total Pack Mass</t>
  </si>
  <si>
    <t>AIS 038 rev.2</t>
  </si>
  <si>
    <t>AIS 156</t>
  </si>
  <si>
    <t>CE</t>
  </si>
  <si>
    <t>ECE R10 Rev6</t>
  </si>
  <si>
    <t>ECE R100 Rev3</t>
  </si>
  <si>
    <t>ECE R136</t>
  </si>
  <si>
    <t>EN50549-1</t>
  </si>
  <si>
    <t>EN50604-1</t>
  </si>
  <si>
    <t>EN55011</t>
  </si>
  <si>
    <t>ETSI EN 301 489-1/52</t>
  </si>
  <si>
    <t>EU 2023/1542</t>
  </si>
  <si>
    <t>FCC Class B</t>
  </si>
  <si>
    <t>GB/T 34014</t>
  </si>
  <si>
    <t>GB/T 31484-2015</t>
  </si>
  <si>
    <t>GB/T 31486-2015</t>
  </si>
  <si>
    <t>GB/T 34120</t>
  </si>
  <si>
    <t>GB/T 34131-2023</t>
  </si>
  <si>
    <t>GB/T 34133</t>
  </si>
  <si>
    <t>GB/T 36276</t>
  </si>
  <si>
    <t>GB/T 36276-2023</t>
  </si>
  <si>
    <t>GB 38031</t>
  </si>
  <si>
    <t>GB 38031-2020</t>
  </si>
  <si>
    <t>GB 38031-2025</t>
  </si>
  <si>
    <t>GB 44240</t>
  </si>
  <si>
    <t>IEC60933-5-2</t>
  </si>
  <si>
    <t>IEC61000-6-2/4</t>
  </si>
  <si>
    <t>IEC62040</t>
  </si>
  <si>
    <t>IEC62133-2</t>
  </si>
  <si>
    <t>IEC62281</t>
  </si>
  <si>
    <t xml:space="preserve"> IEC 62443 4-1</t>
  </si>
  <si>
    <t xml:space="preserve"> IEC 62443 4-2</t>
  </si>
  <si>
    <t xml:space="preserve"> IEC 62443 4-3</t>
  </si>
  <si>
    <t>IEC62477-1</t>
  </si>
  <si>
    <t>IEC62619</t>
  </si>
  <si>
    <t>IEC62620</t>
  </si>
  <si>
    <t>IEC 62660-3</t>
  </si>
  <si>
    <t>IEC 62933-5-2</t>
  </si>
  <si>
    <t>IEC63056</t>
  </si>
  <si>
    <t>IEEE 1547</t>
  </si>
  <si>
    <t>ISO 6469</t>
  </si>
  <si>
    <t>ISO 9227</t>
  </si>
  <si>
    <t>ISO 12405</t>
  </si>
  <si>
    <t>ISO 14040</t>
  </si>
  <si>
    <t>ISO 14044</t>
  </si>
  <si>
    <t>ISO 14064</t>
  </si>
  <si>
    <t>ISO 14067</t>
  </si>
  <si>
    <t>ISO 14229</t>
  </si>
  <si>
    <t>ISO 20653</t>
  </si>
  <si>
    <t>ISO26262</t>
  </si>
  <si>
    <t>NFPA855</t>
  </si>
  <si>
    <t>RoHS</t>
  </si>
  <si>
    <t>SAE J1939</t>
  </si>
  <si>
    <t>SAE J2464</t>
  </si>
  <si>
    <t>SAE J2929</t>
  </si>
  <si>
    <t>TN-CC 020</t>
  </si>
  <si>
    <t>UL 1642</t>
  </si>
  <si>
    <t>UL 1741 SB</t>
  </si>
  <si>
    <t>UL 1973</t>
  </si>
  <si>
    <t>UL 2271</t>
  </si>
  <si>
    <t>UL9540</t>
  </si>
  <si>
    <t>UL 9540A</t>
  </si>
  <si>
    <t>UN 3480</t>
  </si>
  <si>
    <t>UN 3536</t>
  </si>
  <si>
    <t>UN38.3</t>
  </si>
  <si>
    <t>WEEE</t>
  </si>
  <si>
    <t>BDP0132</t>
  </si>
  <si>
    <t>Audi</t>
  </si>
  <si>
    <t>Q4 55 E-tron AWD</t>
  </si>
  <si>
    <t>BEV Road Car</t>
  </si>
  <si>
    <t>LG Chem</t>
  </si>
  <si>
    <t>E78</t>
  </si>
  <si>
    <t>BD0679</t>
  </si>
  <si>
    <t>NMC</t>
  </si>
  <si>
    <t>Pouch</t>
  </si>
  <si>
    <t>BDP0133</t>
  </si>
  <si>
    <t>Q4 e-tron 35</t>
  </si>
  <si>
    <t>BDP0134</t>
  </si>
  <si>
    <t>Q4 e-tron 40</t>
  </si>
  <si>
    <t>BDP0136</t>
  </si>
  <si>
    <t>Q4 e-tron 45 Quattro</t>
  </si>
  <si>
    <t>BDP0137</t>
  </si>
  <si>
    <t>Q4 e-tron 50 Quattro</t>
  </si>
  <si>
    <t>BDP0140</t>
  </si>
  <si>
    <t>Q4 Sportback e-tron 35</t>
  </si>
  <si>
    <t>BDP0141</t>
  </si>
  <si>
    <t>Q4 Sportback e-tron 40</t>
  </si>
  <si>
    <t>BDP0142</t>
  </si>
  <si>
    <t>Q4 Sportback e-tron 45 Quattro</t>
  </si>
  <si>
    <t>BDP0143</t>
  </si>
  <si>
    <t>Q4 Sportback e-tron 50 Quattro</t>
  </si>
  <si>
    <t>BDP0187</t>
  </si>
  <si>
    <t>BMW</t>
  </si>
  <si>
    <t>i3</t>
  </si>
  <si>
    <t>SE09</t>
  </si>
  <si>
    <t>refrigerant</t>
  </si>
  <si>
    <t>Samsung</t>
  </si>
  <si>
    <t>BD0898</t>
  </si>
  <si>
    <t>NMC622</t>
  </si>
  <si>
    <t>Prismatic</t>
  </si>
  <si>
    <t>BDP0188</t>
  </si>
  <si>
    <t>SE03</t>
  </si>
  <si>
    <t>Preh</t>
  </si>
  <si>
    <t>BD0895</t>
  </si>
  <si>
    <t>NMC111</t>
  </si>
  <si>
    <t>BDP0189</t>
  </si>
  <si>
    <t>SE07</t>
  </si>
  <si>
    <t>BD0897</t>
  </si>
  <si>
    <t>BDP0204</t>
  </si>
  <si>
    <t>iX M60</t>
  </si>
  <si>
    <t>BDP0205</t>
  </si>
  <si>
    <t xml:space="preserve">iX xDrive40 </t>
  </si>
  <si>
    <t>SE11</t>
  </si>
  <si>
    <t>liquid</t>
  </si>
  <si>
    <t>BDP0207</t>
  </si>
  <si>
    <t>iX xDrive50</t>
  </si>
  <si>
    <t>SE10</t>
  </si>
  <si>
    <t>BDP0316</t>
  </si>
  <si>
    <t>BYD</t>
  </si>
  <si>
    <t>Seal long range AWD</t>
  </si>
  <si>
    <t>C104F</t>
  </si>
  <si>
    <t>BD0145</t>
  </si>
  <si>
    <t>LFP</t>
  </si>
  <si>
    <t>Blade</t>
  </si>
  <si>
    <t>BDP0317</t>
  </si>
  <si>
    <t>Seal long range RWD</t>
  </si>
  <si>
    <t>BDP0385</t>
  </si>
  <si>
    <t>Chery</t>
  </si>
  <si>
    <t>Omoda E5</t>
  </si>
  <si>
    <t>0KICBA5C</t>
  </si>
  <si>
    <t>BDP0418</t>
  </si>
  <si>
    <t>Citroen</t>
  </si>
  <si>
    <t>e-Jumpy Combi M</t>
  </si>
  <si>
    <t>CATL</t>
  </si>
  <si>
    <t>NMC811</t>
  </si>
  <si>
    <t>BDP0420</t>
  </si>
  <si>
    <t>e-Jumpy Combi XL</t>
  </si>
  <si>
    <t>BDP0422</t>
  </si>
  <si>
    <t>e-SpaceTourer M</t>
  </si>
  <si>
    <t>BDP0424</t>
  </si>
  <si>
    <t>e-SpaceTourer XL</t>
  </si>
  <si>
    <t>BDP0797</t>
  </si>
  <si>
    <t>Jaguar</t>
  </si>
  <si>
    <t>2018 I-Pace</t>
  </si>
  <si>
    <t>BDP0992</t>
  </si>
  <si>
    <t>Mastervolt</t>
  </si>
  <si>
    <t>24/6000</t>
  </si>
  <si>
    <t>BDP1040</t>
  </si>
  <si>
    <t>Mercedes</t>
  </si>
  <si>
    <t>EQXX</t>
  </si>
  <si>
    <t>air cooled</t>
  </si>
  <si>
    <t>BDP1106</t>
  </si>
  <si>
    <t>Nio</t>
  </si>
  <si>
    <t>EC6</t>
  </si>
  <si>
    <t>BDP1107</t>
  </si>
  <si>
    <t>EC7</t>
  </si>
  <si>
    <t>BDP1111</t>
  </si>
  <si>
    <t>ES6</t>
  </si>
  <si>
    <t>WeLion</t>
  </si>
  <si>
    <t>BDP1112</t>
  </si>
  <si>
    <t>ES7</t>
  </si>
  <si>
    <t>BDP1113</t>
  </si>
  <si>
    <t>BDP1114</t>
  </si>
  <si>
    <t>BDP1116</t>
  </si>
  <si>
    <t>ET5 Touring</t>
  </si>
  <si>
    <t>BDP1117</t>
  </si>
  <si>
    <t>BDP1118</t>
  </si>
  <si>
    <t>BDP1119</t>
  </si>
  <si>
    <t>BDP1120</t>
  </si>
  <si>
    <t>CALB</t>
  </si>
  <si>
    <t>BDP1121</t>
  </si>
  <si>
    <t>BDP1122</t>
  </si>
  <si>
    <t>ET7</t>
  </si>
  <si>
    <t>LFP and NMC</t>
  </si>
  <si>
    <t>BDP1123</t>
  </si>
  <si>
    <t>BDP1130</t>
  </si>
  <si>
    <t>Nissan</t>
  </si>
  <si>
    <t>2017 Leaf 40</t>
  </si>
  <si>
    <t>Calsonic Kansai</t>
  </si>
  <si>
    <t>AESC</t>
  </si>
  <si>
    <t>BD0047</t>
  </si>
  <si>
    <t>NMC523</t>
  </si>
  <si>
    <t>BDP1134</t>
  </si>
  <si>
    <t>Ariya 63kWh</t>
  </si>
  <si>
    <t>BDP1136</t>
  </si>
  <si>
    <t>Ariya 87kWh</t>
  </si>
  <si>
    <t>BDP1137</t>
  </si>
  <si>
    <t>Ariya e-4ORCE 87kWh</t>
  </si>
  <si>
    <t>BDP1138</t>
  </si>
  <si>
    <t>Ariya e-4ORCE 87kWh 290kW</t>
  </si>
  <si>
    <t>BDP1274</t>
  </si>
  <si>
    <t>REPT</t>
  </si>
  <si>
    <t>GREEN CTP Pack</t>
  </si>
  <si>
    <t>IP68</t>
  </si>
  <si>
    <t>BDP1294</t>
  </si>
  <si>
    <t>Rivian</t>
  </si>
  <si>
    <t>R1T</t>
  </si>
  <si>
    <t>Aluminium/Steel</t>
  </si>
  <si>
    <t>50G</t>
  </si>
  <si>
    <t>BD0886</t>
  </si>
  <si>
    <t>NCA</t>
  </si>
  <si>
    <t>Cylindrical</t>
  </si>
  <si>
    <t>BDP1509</t>
  </si>
  <si>
    <t>Toyota</t>
  </si>
  <si>
    <t>RAV4 EV 2nd Gen</t>
  </si>
  <si>
    <t>Panasonic</t>
  </si>
  <si>
    <t>BDP1561</t>
  </si>
  <si>
    <t>Volkswagen</t>
  </si>
  <si>
    <t>ID Buzz Pro</t>
  </si>
  <si>
    <t>Aluminiun/Aluminium</t>
  </si>
  <si>
    <t>IP6K7</t>
  </si>
  <si>
    <t>LG</t>
  </si>
  <si>
    <t>NMC712</t>
  </si>
  <si>
    <t>BDP1568</t>
  </si>
  <si>
    <t>ID3 Pro S</t>
  </si>
  <si>
    <t>BDP1570</t>
  </si>
  <si>
    <t>ID3/4 58kWh</t>
  </si>
  <si>
    <t>BATTYPV13</t>
  </si>
  <si>
    <t>BDP1571</t>
  </si>
  <si>
    <t>ID3/4 77kWh</t>
  </si>
  <si>
    <t>BATTYPV12</t>
  </si>
  <si>
    <t>BDP1572</t>
  </si>
  <si>
    <t>ID4 AWD</t>
  </si>
  <si>
    <t>BDP1573</t>
  </si>
  <si>
    <t>ID4 Pro RWD</t>
  </si>
  <si>
    <t>BDP1574</t>
  </si>
  <si>
    <t>ID4 RWD</t>
  </si>
  <si>
    <t>BDP1575</t>
  </si>
  <si>
    <t>ID5 GTX</t>
  </si>
  <si>
    <t>BDP1576</t>
  </si>
  <si>
    <t>ID5 Pro</t>
  </si>
  <si>
    <t>BDP1577</t>
  </si>
  <si>
    <t>ID5 Pro Performance</t>
  </si>
  <si>
    <t>BDP1691</t>
  </si>
  <si>
    <t>Zeekr</t>
  </si>
  <si>
    <t>009 ME</t>
  </si>
  <si>
    <t>aluminium</t>
  </si>
  <si>
    <t>Qilin</t>
  </si>
  <si>
    <t>BD0193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</si>
</sst>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-;\-* #,##0.00_-;_-* \-??_-;_-@_-"/>
    <numFmt numFmtId="165" formatCode="_-* #,##0_-;\-* #,##0_-;_-* \-??_-;_-@_-"/>
    <numFmt numFmtId="166" formatCode="0.0%"/>
    <numFmt numFmtId="167" formatCode="0.0"/>
    <numFmt numFmtId="168" formatCode="0.0000"/>
    <numFmt numFmtId="169" formatCode="0.000"/>
  </numFmts>
  <fonts count="14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6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2"/>
      <color theme="0"/>
      <name val="Calibri"/>
      <family val="2"/>
      <charset val="1"/>
    </font>
    <font>
      <sz val="9"/>
      <color theme="0"/>
      <name val="Calibri"/>
      <family val="2"/>
      <charset val="1"/>
    </font>
    <font>
      <vertAlign val="subscript"/>
      <sz val="9"/>
      <color theme="0"/>
      <name val="Calibri"/>
      <family val="2"/>
      <charset val="1"/>
    </font>
    <font>
      <sz val="9"/>
      <color theme="0"/>
      <name val="Calibri"/>
      <family val="1"/>
      <charset val="2"/>
    </font>
    <font>
      <sz val="9"/>
      <color theme="1"/>
      <name val="Calibri"/>
      <family val="2"/>
      <charset val="1"/>
    </font>
    <font>
      <sz val="1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8" tint="-0.499984740745262"/>
        <bgColor rgb="FF1E4E79"/>
      </patternFill>
    </fill>
    <fill>
      <patternFill patternType="solid">
        <fgColor rgb="FF1E4E79"/>
        <bgColor rgb="FF1F4E79"/>
      </patternFill>
    </fill>
    <fill>
      <patternFill patternType="solid">
        <fgColor rgb="FF385623"/>
        <bgColor rgb="FF385724"/>
      </patternFill>
    </fill>
    <fill>
      <patternFill patternType="solid">
        <fgColor rgb="FF218583"/>
        <bgColor rgb="FF2E75B5"/>
      </patternFill>
    </fill>
    <fill>
      <patternFill patternType="solid">
        <fgColor theme="9" tint="-0.499984740745262"/>
        <bgColor rgb="FF385623"/>
      </patternFill>
    </fill>
    <fill>
      <patternFill patternType="solid">
        <fgColor rgb="FF00729A"/>
        <bgColor rgb="FF0070C0"/>
      </patternFill>
    </fill>
    <fill>
      <patternFill patternType="solid">
        <fgColor rgb="FF548135"/>
        <bgColor rgb="FF548235"/>
      </patternFill>
    </fill>
    <fill>
      <patternFill patternType="solid">
        <fgColor rgb="FF2E75B5"/>
        <bgColor rgb="FF2E75B6"/>
      </patternFill>
    </fill>
    <fill>
      <patternFill patternType="solid">
        <fgColor rgb="FF33CCCC"/>
        <bgColor rgb="FF0097CC"/>
      </patternFill>
    </fill>
    <fill>
      <patternFill patternType="solid">
        <fgColor theme="9" tint="0.39988402966399123"/>
        <bgColor rgb="FFB1BBB1"/>
      </patternFill>
    </fill>
    <fill>
      <patternFill patternType="solid">
        <fgColor theme="9" tint="-0.249977111117893"/>
        <bgColor rgb="FF548135"/>
      </patternFill>
    </fill>
    <fill>
      <patternFill patternType="solid">
        <fgColor theme="8" tint="-0.249977111117893"/>
        <bgColor rgb="FF2E75B5"/>
      </patternFill>
    </fill>
    <fill>
      <patternFill patternType="solid">
        <fgColor rgb="FF0097CC"/>
        <bgColor rgb="FF0070C0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800000"/>
      </patternFill>
    </fill>
    <fill>
      <patternFill patternType="solid">
        <fgColor rgb="FF92D050"/>
        <bgColor rgb="FFA9D18E"/>
      </patternFill>
    </fill>
    <fill>
      <patternFill patternType="solid">
        <fgColor theme="8" tint="0.79989013336588644"/>
        <bgColor rgb="FFDEEAF6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rgb="FFDEEAF6"/>
        <bgColor rgb="FFDEEBF7"/>
      </patternFill>
    </fill>
    <fill>
      <patternFill patternType="solid">
        <fgColor theme="7" tint="0.79989013336588644"/>
        <bgColor rgb="FFF2F2F2"/>
      </patternFill>
    </fill>
    <fill>
      <patternFill patternType="solid">
        <fgColor rgb="FFB1BBB1"/>
        <bgColor rgb="FFBFBFBF"/>
      </patternFill>
    </fill>
    <fill>
      <patternFill patternType="solid">
        <fgColor theme="9" tint="0.79989013336588644"/>
        <bgColor rgb="FFE2EFD9"/>
      </patternFill>
    </fill>
    <fill>
      <patternFill patternType="solid">
        <fgColor rgb="FFE2EFD9"/>
        <bgColor rgb="FFE2F0D9"/>
      </patternFill>
    </fill>
    <fill>
      <patternFill patternType="solid">
        <fgColor theme="0" tint="-0.499984740745262"/>
        <bgColor rgb="FF548135"/>
      </patternFill>
    </fill>
    <fill>
      <patternFill patternType="solid">
        <fgColor theme="4" tint="0.79989013336588644"/>
        <bgColor rgb="FFDEEAF6"/>
      </patternFill>
    </fill>
    <fill>
      <patternFill patternType="solid">
        <fgColor theme="0" tint="-0.14999847407452621"/>
        <bgColor rgb="FFFF9900"/>
      </patternFill>
    </fill>
    <fill>
      <patternFill patternType="solid">
        <fgColor theme="0" tint="-0.14999847407452621"/>
        <bgColor rgb="FF800000"/>
      </patternFill>
    </fill>
    <fill>
      <patternFill patternType="solid">
        <fgColor theme="0" tint="-0.14999847407452621"/>
        <bgColor rgb="FFA9D18E"/>
      </patternFill>
    </fill>
    <fill>
      <patternFill patternType="solid">
        <fgColor theme="0" tint="-0.14999847407452621"/>
        <bgColor rgb="FFDEEAF6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rgb="FF800000"/>
      </patternFill>
    </fill>
    <fill>
      <patternFill patternType="solid">
        <fgColor theme="8" tint="0.79998168889431442"/>
        <bgColor rgb="FFFF9900"/>
      </patternFill>
    </fill>
    <fill>
      <patternFill patternType="solid">
        <fgColor theme="8" tint="0.79998168889431442"/>
        <bgColor rgb="FFDAE3F3"/>
      </patternFill>
    </fill>
    <fill>
      <patternFill patternType="solid">
        <fgColor theme="8" tint="0.79998168889431442"/>
        <bgColor rgb="FFA9D18E"/>
      </patternFill>
    </fill>
    <fill>
      <patternFill patternType="solid">
        <fgColor theme="8" tint="0.79998168889431442"/>
        <bgColor rgb="FFDEEBF7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7" tint="0.79998168889431442"/>
        <bgColor rgb="FFA9D18E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7" tint="0.79998168889431442"/>
        <bgColor rgb="FFFF9900"/>
      </patternFill>
    </fill>
    <fill>
      <patternFill patternType="solid">
        <fgColor theme="7" tint="0.79998168889431442"/>
        <bgColor rgb="FF800000"/>
      </patternFill>
    </fill>
    <fill>
      <patternFill patternType="solid">
        <fgColor theme="7" tint="0.79998168889431442"/>
        <bgColor rgb="FFDEEBF7"/>
      </patternFill>
    </fill>
    <fill>
      <patternFill patternType="solid">
        <fgColor theme="7" tint="0.79998168889431442"/>
        <bgColor rgb="FFDAE3F3"/>
      </patternFill>
    </fill>
    <fill>
      <patternFill patternType="solid">
        <fgColor theme="8" tint="0.79998168889431442"/>
        <bgColor rgb="FFBFBFBF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0.79998168889431442"/>
        <bgColor rgb="FFE2F0D9"/>
      </patternFill>
    </fill>
    <fill>
      <patternFill patternType="solid">
        <fgColor theme="7" tint="0.79998168889431442"/>
        <bgColor rgb="FFE2F0D9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79998168889431442"/>
        <bgColor rgb="FFA9D18E"/>
      </patternFill>
    </fill>
    <fill>
      <patternFill patternType="solid">
        <fgColor theme="9" tint="0.79998168889431442"/>
        <bgColor rgb="FF800000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79998168889431442"/>
        <bgColor rgb="FFFF9900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A9D18E"/>
      </patternFill>
    </fill>
    <fill>
      <patternFill patternType="solid">
        <fgColor theme="4" tint="0.79998168889431442"/>
        <bgColor rgb="FFDEEBF7"/>
      </patternFill>
    </fill>
    <fill>
      <patternFill patternType="solid">
        <fgColor theme="4" tint="0.79998168889431442"/>
        <bgColor rgb="FFFF9900"/>
      </patternFill>
    </fill>
    <fill>
      <patternFill patternType="solid">
        <fgColor theme="4" tint="0.79998168889431442"/>
        <bgColor rgb="FFDAE3F3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9" fontId="1" fillId="0" borderId="0"/>
  </cellStyleXfs>
  <cellXfs count="272">
    <xf numFmtId="0" fontId="0" fillId="0" borderId="0" xfId="0"/>
    <xf numFmtId="0" fontId="8" fillId="2" borderId="0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/>
    </xf>
    <xf numFmtId="166" fontId="0" fillId="0" borderId="0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right" textRotation="90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5" xfId="0" applyFont="1" applyBorder="1"/>
    <xf numFmtId="0" fontId="6" fillId="4" borderId="6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7" fillId="2" borderId="8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7" fillId="2" borderId="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 wrapText="1"/>
    </xf>
    <xf numFmtId="0" fontId="12" fillId="11" borderId="0" xfId="0" applyFont="1" applyFill="1" applyBorder="1" applyAlignment="1">
      <alignment horizontal="center" vertical="center" wrapText="1"/>
    </xf>
    <xf numFmtId="0" fontId="9" fillId="12" borderId="0" xfId="0" applyFont="1" applyFill="1" applyBorder="1" applyAlignment="1">
      <alignment horizontal="center" vertical="center" wrapText="1"/>
    </xf>
    <xf numFmtId="0" fontId="9" fillId="13" borderId="0" xfId="0" applyFont="1" applyFill="1" applyBorder="1" applyAlignment="1">
      <alignment horizontal="center" vertical="center" wrapText="1"/>
    </xf>
    <xf numFmtId="165" fontId="12" fillId="10" borderId="0" xfId="1" applyNumberFormat="1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15" borderId="3" xfId="0" applyFont="1" applyFill="1" applyBorder="1"/>
    <xf numFmtId="0" fontId="1" fillId="15" borderId="3" xfId="0" applyFont="1" applyFill="1" applyBorder="1" applyAlignment="1">
      <alignment horizontal="left"/>
    </xf>
    <xf numFmtId="0" fontId="1" fillId="15" borderId="3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 vertical="center"/>
    </xf>
    <xf numFmtId="2" fontId="1" fillId="15" borderId="3" xfId="0" applyNumberFormat="1" applyFont="1" applyFill="1" applyBorder="1" applyAlignment="1">
      <alignment horizontal="center"/>
    </xf>
    <xf numFmtId="1" fontId="1" fillId="15" borderId="3" xfId="0" applyNumberFormat="1" applyFont="1" applyFill="1" applyBorder="1" applyAlignment="1">
      <alignment horizontal="center"/>
    </xf>
    <xf numFmtId="167" fontId="1" fillId="16" borderId="3" xfId="0" applyNumberFormat="1" applyFont="1" applyFill="1" applyBorder="1" applyAlignment="1">
      <alignment horizontal="center"/>
    </xf>
    <xf numFmtId="167" fontId="2" fillId="17" borderId="3" xfId="0" applyNumberFormat="1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165" fontId="1" fillId="15" borderId="3" xfId="1" applyNumberFormat="1" applyFont="1" applyFill="1" applyBorder="1" applyAlignment="1">
      <alignment horizontal="center"/>
    </xf>
    <xf numFmtId="9" fontId="1" fillId="15" borderId="3" xfId="0" applyNumberFormat="1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1" fontId="1" fillId="16" borderId="3" xfId="0" applyNumberFormat="1" applyFont="1" applyFill="1" applyBorder="1" applyAlignment="1">
      <alignment horizontal="center"/>
    </xf>
    <xf numFmtId="167" fontId="1" fillId="19" borderId="3" xfId="0" applyNumberFormat="1" applyFont="1" applyFill="1" applyBorder="1" applyAlignment="1">
      <alignment horizontal="center"/>
    </xf>
    <xf numFmtId="166" fontId="1" fillId="19" borderId="3" xfId="2" applyNumberFormat="1" applyFont="1" applyFill="1" applyBorder="1" applyAlignment="1">
      <alignment horizontal="center"/>
    </xf>
    <xf numFmtId="167" fontId="1" fillId="19" borderId="3" xfId="2" applyNumberFormat="1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1" fontId="1" fillId="19" borderId="3" xfId="0" applyNumberFormat="1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0" fillId="15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1" fontId="0" fillId="15" borderId="3" xfId="0" applyNumberFormat="1" applyFill="1" applyBorder="1" applyAlignment="1">
      <alignment horizontal="center" vertical="center"/>
    </xf>
    <xf numFmtId="0" fontId="0" fillId="18" borderId="3" xfId="0" applyFill="1" applyBorder="1"/>
    <xf numFmtId="0" fontId="0" fillId="15" borderId="3" xfId="0" applyFill="1" applyBorder="1"/>
    <xf numFmtId="0" fontId="1" fillId="18" borderId="4" xfId="0" applyFont="1" applyFill="1" applyBorder="1" applyAlignment="1">
      <alignment horizontal="center"/>
    </xf>
    <xf numFmtId="2" fontId="2" fillId="17" borderId="3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1" fillId="0" borderId="3" xfId="0" applyFont="1" applyBorder="1"/>
    <xf numFmtId="2" fontId="1" fillId="18" borderId="3" xfId="0" applyNumberFormat="1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9" fontId="2" fillId="17" borderId="4" xfId="2" applyFont="1" applyFill="1" applyBorder="1" applyAlignment="1">
      <alignment horizontal="center"/>
    </xf>
    <xf numFmtId="168" fontId="2" fillId="17" borderId="3" xfId="0" applyNumberFormat="1" applyFont="1" applyFill="1" applyBorder="1" applyAlignment="1">
      <alignment horizontal="center"/>
    </xf>
    <xf numFmtId="0" fontId="1" fillId="19" borderId="3" xfId="0" applyFont="1" applyFill="1" applyBorder="1"/>
    <xf numFmtId="0" fontId="1" fillId="19" borderId="3" xfId="0" applyFont="1" applyFill="1" applyBorder="1" applyAlignment="1">
      <alignment horizontal="left"/>
    </xf>
    <xf numFmtId="0" fontId="1" fillId="19" borderId="3" xfId="0" applyFont="1" applyFill="1" applyBorder="1" applyAlignment="1">
      <alignment horizontal="center" vertical="center"/>
    </xf>
    <xf numFmtId="2" fontId="1" fillId="19" borderId="3" xfId="0" applyNumberFormat="1" applyFont="1" applyFill="1" applyBorder="1" applyAlignment="1">
      <alignment horizontal="center"/>
    </xf>
    <xf numFmtId="1" fontId="1" fillId="21" borderId="3" xfId="0" applyNumberFormat="1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165" fontId="1" fillId="19" borderId="3" xfId="1" applyNumberFormat="1" applyFont="1" applyFill="1" applyBorder="1" applyAlignment="1">
      <alignment horizontal="center"/>
    </xf>
    <xf numFmtId="9" fontId="1" fillId="19" borderId="3" xfId="0" applyNumberFormat="1" applyFont="1" applyFill="1" applyBorder="1" applyAlignment="1">
      <alignment horizontal="center"/>
    </xf>
    <xf numFmtId="0" fontId="0" fillId="19" borderId="3" xfId="0" applyFill="1" applyBorder="1"/>
    <xf numFmtId="0" fontId="0" fillId="19" borderId="3" xfId="0" applyFont="1" applyFill="1" applyBorder="1" applyAlignment="1">
      <alignment horizontal="center" vertical="center"/>
    </xf>
    <xf numFmtId="2" fontId="0" fillId="19" borderId="3" xfId="0" applyNumberFormat="1" applyFill="1" applyBorder="1" applyAlignment="1">
      <alignment horizontal="center" vertical="center"/>
    </xf>
    <xf numFmtId="1" fontId="0" fillId="19" borderId="3" xfId="0" applyNumberFormat="1" applyFill="1" applyBorder="1" applyAlignment="1">
      <alignment horizontal="center" vertical="center"/>
    </xf>
    <xf numFmtId="1" fontId="1" fillId="19" borderId="4" xfId="0" applyNumberFormat="1" applyFont="1" applyFill="1" applyBorder="1" applyAlignment="1">
      <alignment horizontal="center"/>
    </xf>
    <xf numFmtId="167" fontId="2" fillId="17" borderId="3" xfId="0" applyNumberFormat="1" applyFont="1" applyFill="1" applyBorder="1" applyAlignment="1">
      <alignment horizontal="center" vertical="center"/>
    </xf>
    <xf numFmtId="1" fontId="1" fillId="18" borderId="3" xfId="0" applyNumberFormat="1" applyFont="1" applyFill="1" applyBorder="1" applyAlignment="1">
      <alignment horizontal="center"/>
    </xf>
    <xf numFmtId="167" fontId="1" fillId="18" borderId="3" xfId="0" applyNumberFormat="1" applyFont="1" applyFill="1" applyBorder="1" applyAlignment="1">
      <alignment horizontal="center" vertical="center"/>
    </xf>
    <xf numFmtId="167" fontId="1" fillId="18" borderId="3" xfId="0" applyNumberFormat="1" applyFont="1" applyFill="1" applyBorder="1" applyAlignment="1">
      <alignment horizontal="center"/>
    </xf>
    <xf numFmtId="0" fontId="0" fillId="16" borderId="3" xfId="0" applyFill="1" applyBorder="1" applyAlignment="1">
      <alignment horizontal="center" vertical="center"/>
    </xf>
    <xf numFmtId="1" fontId="1" fillId="18" borderId="4" xfId="0" applyNumberFormat="1" applyFont="1" applyFill="1" applyBorder="1" applyAlignment="1">
      <alignment horizontal="center"/>
    </xf>
    <xf numFmtId="2" fontId="1" fillId="16" borderId="3" xfId="0" applyNumberFormat="1" applyFont="1" applyFill="1" applyBorder="1" applyAlignment="1">
      <alignment horizontal="center"/>
    </xf>
    <xf numFmtId="9" fontId="1" fillId="21" borderId="3" xfId="0" applyNumberFormat="1" applyFon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1" fillId="22" borderId="3" xfId="0" applyFont="1" applyFill="1" applyBorder="1"/>
    <xf numFmtId="0" fontId="1" fillId="22" borderId="3" xfId="0" applyFont="1" applyFill="1" applyBorder="1" applyAlignment="1">
      <alignment horizontal="left"/>
    </xf>
    <xf numFmtId="0" fontId="1" fillId="22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 vertical="center"/>
    </xf>
    <xf numFmtId="2" fontId="1" fillId="22" borderId="3" xfId="0" applyNumberFormat="1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165" fontId="1" fillId="23" borderId="3" xfId="1" applyNumberFormat="1" applyFont="1" applyFill="1" applyBorder="1" applyAlignment="1">
      <alignment horizontal="center"/>
    </xf>
    <xf numFmtId="166" fontId="1" fillId="16" borderId="3" xfId="0" applyNumberFormat="1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1" fontId="1" fillId="23" borderId="3" xfId="0" applyNumberFormat="1" applyFont="1" applyFill="1" applyBorder="1" applyAlignment="1">
      <alignment horizontal="center"/>
    </xf>
    <xf numFmtId="0" fontId="1" fillId="23" borderId="3" xfId="0" applyFont="1" applyFill="1" applyBorder="1"/>
    <xf numFmtId="0" fontId="1" fillId="23" borderId="3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2" fontId="0" fillId="23" borderId="3" xfId="0" applyNumberFormat="1" applyFill="1" applyBorder="1" applyAlignment="1">
      <alignment horizontal="center" vertical="center"/>
    </xf>
    <xf numFmtId="0" fontId="0" fillId="23" borderId="3" xfId="0" applyFill="1" applyBorder="1"/>
    <xf numFmtId="0" fontId="1" fillId="23" borderId="4" xfId="0" applyFont="1" applyFill="1" applyBorder="1" applyAlignment="1">
      <alignment horizontal="center"/>
    </xf>
    <xf numFmtId="2" fontId="1" fillId="23" borderId="3" xfId="0" applyNumberFormat="1" applyFont="1" applyFill="1" applyBorder="1" applyAlignment="1">
      <alignment horizontal="center"/>
    </xf>
    <xf numFmtId="9" fontId="1" fillId="23" borderId="3" xfId="0" applyNumberFormat="1" applyFont="1" applyFill="1" applyBorder="1" applyAlignment="1">
      <alignment horizontal="center"/>
    </xf>
    <xf numFmtId="1" fontId="1" fillId="24" borderId="3" xfId="0" applyNumberFormat="1" applyFont="1" applyFill="1" applyBorder="1" applyAlignment="1">
      <alignment horizontal="center"/>
    </xf>
    <xf numFmtId="1" fontId="1" fillId="25" borderId="3" xfId="0" applyNumberFormat="1" applyFont="1" applyFill="1" applyBorder="1" applyAlignment="1">
      <alignment horizontal="center"/>
    </xf>
    <xf numFmtId="1" fontId="0" fillId="16" borderId="3" xfId="0" applyNumberFormat="1" applyFill="1" applyBorder="1" applyAlignment="1">
      <alignment horizontal="center" vertical="center"/>
    </xf>
    <xf numFmtId="0" fontId="1" fillId="24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" fontId="0" fillId="23" borderId="3" xfId="0" applyNumberFormat="1" applyFill="1" applyBorder="1" applyAlignment="1">
      <alignment horizontal="center" vertical="center"/>
    </xf>
    <xf numFmtId="168" fontId="2" fillId="17" borderId="3" xfId="0" applyNumberFormat="1" applyFont="1" applyFill="1" applyBorder="1" applyAlignment="1">
      <alignment horizontal="center" vertical="center"/>
    </xf>
    <xf numFmtId="1" fontId="2" fillId="17" borderId="3" xfId="0" applyNumberFormat="1" applyFont="1" applyFill="1" applyBorder="1" applyAlignment="1">
      <alignment horizontal="center" vertical="center"/>
    </xf>
    <xf numFmtId="1" fontId="2" fillId="17" borderId="3" xfId="0" applyNumberFormat="1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2" fontId="1" fillId="25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165" fontId="1" fillId="25" borderId="3" xfId="1" applyNumberFormat="1" applyFont="1" applyFill="1" applyBorder="1" applyAlignment="1">
      <alignment horizontal="center"/>
    </xf>
    <xf numFmtId="0" fontId="1" fillId="25" borderId="4" xfId="0" applyFont="1" applyFill="1" applyBorder="1" applyAlignment="1">
      <alignment horizontal="center"/>
    </xf>
    <xf numFmtId="167" fontId="2" fillId="19" borderId="3" xfId="0" applyNumberFormat="1" applyFont="1" applyFill="1" applyBorder="1" applyAlignment="1">
      <alignment horizontal="center"/>
    </xf>
    <xf numFmtId="9" fontId="2" fillId="17" borderId="3" xfId="2" applyFont="1" applyFill="1" applyBorder="1" applyAlignment="1">
      <alignment horizontal="center"/>
    </xf>
    <xf numFmtId="0" fontId="1" fillId="0" borderId="0" xfId="0" applyFont="1" applyBorder="1"/>
    <xf numFmtId="167" fontId="0" fillId="23" borderId="3" xfId="0" applyNumberFormat="1" applyFill="1" applyBorder="1" applyAlignment="1">
      <alignment horizontal="center" vertical="center"/>
    </xf>
    <xf numFmtId="0" fontId="0" fillId="26" borderId="3" xfId="0" applyFill="1" applyBorder="1"/>
    <xf numFmtId="0" fontId="1" fillId="18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0" fillId="18" borderId="3" xfId="0" applyFill="1" applyBorder="1"/>
    <xf numFmtId="169" fontId="0" fillId="16" borderId="3" xfId="0" applyNumberFormat="1" applyFill="1" applyBorder="1" applyAlignment="1">
      <alignment horizontal="center" vertical="center"/>
    </xf>
    <xf numFmtId="0" fontId="1" fillId="25" borderId="3" xfId="0" applyFont="1" applyFill="1" applyBorder="1" applyAlignment="1">
      <alignment horizontal="center"/>
    </xf>
    <xf numFmtId="167" fontId="1" fillId="25" borderId="3" xfId="0" applyNumberFormat="1" applyFont="1" applyFill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26" borderId="0" xfId="0" applyFill="1" applyBorder="1"/>
    <xf numFmtId="0" fontId="1" fillId="18" borderId="3" xfId="0" applyFont="1" applyFill="1" applyBorder="1"/>
    <xf numFmtId="2" fontId="0" fillId="16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" fillId="16" borderId="4" xfId="0" applyFont="1" applyFill="1" applyBorder="1" applyAlignment="1">
      <alignment horizontal="center"/>
    </xf>
    <xf numFmtId="0" fontId="1" fillId="24" borderId="3" xfId="0" applyFont="1" applyFill="1" applyBorder="1"/>
    <xf numFmtId="0" fontId="1" fillId="24" borderId="3" xfId="0" applyFont="1" applyFill="1" applyBorder="1" applyAlignment="1">
      <alignment horizontal="left"/>
    </xf>
    <xf numFmtId="0" fontId="1" fillId="24" borderId="3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 vertical="center"/>
    </xf>
    <xf numFmtId="2" fontId="1" fillId="24" borderId="3" xfId="0" applyNumberFormat="1" applyFont="1" applyFill="1" applyBorder="1" applyAlignment="1">
      <alignment horizontal="center"/>
    </xf>
    <xf numFmtId="165" fontId="1" fillId="24" borderId="3" xfId="1" applyNumberFormat="1" applyFont="1" applyFill="1" applyBorder="1" applyAlignment="1">
      <alignment horizontal="center"/>
    </xf>
    <xf numFmtId="166" fontId="1" fillId="24" borderId="3" xfId="0" applyNumberFormat="1" applyFont="1" applyFill="1" applyBorder="1" applyAlignment="1">
      <alignment horizontal="center"/>
    </xf>
    <xf numFmtId="0" fontId="0" fillId="24" borderId="3" xfId="0" applyFill="1" applyBorder="1" applyAlignment="1">
      <alignment horizontal="center" vertical="center"/>
    </xf>
    <xf numFmtId="1" fontId="0" fillId="24" borderId="3" xfId="0" applyNumberFormat="1" applyFill="1" applyBorder="1" applyAlignment="1">
      <alignment horizontal="center" vertical="center"/>
    </xf>
    <xf numFmtId="0" fontId="0" fillId="24" borderId="0" xfId="0" applyFill="1" applyBorder="1"/>
    <xf numFmtId="0" fontId="1" fillId="27" borderId="3" xfId="0" applyFont="1" applyFill="1" applyBorder="1"/>
    <xf numFmtId="0" fontId="1" fillId="27" borderId="3" xfId="0" applyFont="1" applyFill="1" applyBorder="1" applyAlignment="1">
      <alignment horizontal="left"/>
    </xf>
    <xf numFmtId="0" fontId="1" fillId="27" borderId="3" xfId="0" applyFont="1" applyFill="1" applyBorder="1" applyAlignment="1">
      <alignment horizontal="center"/>
    </xf>
    <xf numFmtId="169" fontId="2" fillId="17" borderId="3" xfId="0" applyNumberFormat="1" applyFont="1" applyFill="1" applyBorder="1" applyAlignment="1">
      <alignment horizontal="center"/>
    </xf>
    <xf numFmtId="2" fontId="2" fillId="17" borderId="3" xfId="0" applyNumberFormat="1" applyFont="1" applyFill="1" applyBorder="1" applyAlignment="1">
      <alignment horizontal="center" vertical="center"/>
    </xf>
    <xf numFmtId="0" fontId="0" fillId="22" borderId="0" xfId="0" applyFill="1" applyBorder="1"/>
    <xf numFmtId="0" fontId="6" fillId="3" borderId="11" xfId="0" applyFont="1" applyFill="1" applyBorder="1" applyAlignment="1">
      <alignment horizontal="center" vertical="center" wrapText="1"/>
    </xf>
    <xf numFmtId="167" fontId="1" fillId="28" borderId="3" xfId="0" applyNumberFormat="1" applyFont="1" applyFill="1" applyBorder="1" applyAlignment="1">
      <alignment horizontal="center"/>
    </xf>
    <xf numFmtId="0" fontId="1" fillId="30" borderId="3" xfId="0" applyFont="1" applyFill="1" applyBorder="1" applyAlignment="1">
      <alignment horizontal="center"/>
    </xf>
    <xf numFmtId="1" fontId="1" fillId="28" borderId="3" xfId="0" applyNumberFormat="1" applyFont="1" applyFill="1" applyBorder="1" applyAlignment="1">
      <alignment horizontal="center"/>
    </xf>
    <xf numFmtId="167" fontId="1" fillId="31" borderId="3" xfId="0" applyNumberFormat="1" applyFont="1" applyFill="1" applyBorder="1" applyAlignment="1">
      <alignment horizontal="center"/>
    </xf>
    <xf numFmtId="166" fontId="1" fillId="31" borderId="3" xfId="2" applyNumberFormat="1" applyFont="1" applyFill="1" applyBorder="1" applyAlignment="1">
      <alignment horizontal="center"/>
    </xf>
    <xf numFmtId="167" fontId="1" fillId="31" borderId="3" xfId="2" applyNumberFormat="1" applyFont="1" applyFill="1" applyBorder="1" applyAlignment="1">
      <alignment horizontal="center"/>
    </xf>
    <xf numFmtId="1" fontId="1" fillId="31" borderId="3" xfId="0" applyNumberFormat="1" applyFont="1" applyFill="1" applyBorder="1" applyAlignment="1">
      <alignment horizontal="center"/>
    </xf>
    <xf numFmtId="2" fontId="1" fillId="30" borderId="3" xfId="0" applyNumberFormat="1" applyFont="1" applyFill="1" applyBorder="1" applyAlignment="1">
      <alignment horizontal="center"/>
    </xf>
    <xf numFmtId="0" fontId="1" fillId="33" borderId="3" xfId="0" applyFont="1" applyFill="1" applyBorder="1" applyAlignment="1">
      <alignment horizontal="left"/>
    </xf>
    <xf numFmtId="0" fontId="1" fillId="33" borderId="3" xfId="0" applyFont="1" applyFill="1" applyBorder="1" applyAlignment="1">
      <alignment horizontal="center"/>
    </xf>
    <xf numFmtId="2" fontId="1" fillId="33" borderId="3" xfId="0" applyNumberFormat="1" applyFont="1" applyFill="1" applyBorder="1" applyAlignment="1">
      <alignment horizontal="center"/>
    </xf>
    <xf numFmtId="167" fontId="1" fillId="33" borderId="3" xfId="0" applyNumberFormat="1" applyFont="1" applyFill="1" applyBorder="1" applyAlignment="1">
      <alignment horizontal="center"/>
    </xf>
    <xf numFmtId="1" fontId="1" fillId="33" borderId="3" xfId="0" applyNumberFormat="1" applyFont="1" applyFill="1" applyBorder="1" applyAlignment="1">
      <alignment horizontal="center"/>
    </xf>
    <xf numFmtId="9" fontId="1" fillId="33" borderId="3" xfId="0" applyNumberFormat="1" applyFont="1" applyFill="1" applyBorder="1" applyAlignment="1">
      <alignment horizontal="center"/>
    </xf>
    <xf numFmtId="1" fontId="1" fillId="35" borderId="3" xfId="0" applyNumberFormat="1" applyFont="1" applyFill="1" applyBorder="1" applyAlignment="1">
      <alignment horizontal="center"/>
    </xf>
    <xf numFmtId="166" fontId="1" fillId="33" borderId="3" xfId="2" applyNumberFormat="1" applyFont="1" applyFill="1" applyBorder="1" applyAlignment="1">
      <alignment horizontal="center"/>
    </xf>
    <xf numFmtId="167" fontId="1" fillId="33" borderId="3" xfId="2" applyNumberFormat="1" applyFont="1" applyFill="1" applyBorder="1" applyAlignment="1">
      <alignment horizontal="center"/>
    </xf>
    <xf numFmtId="1" fontId="1" fillId="36" borderId="3" xfId="0" applyNumberFormat="1" applyFont="1" applyFill="1" applyBorder="1" applyAlignment="1">
      <alignment horizontal="center"/>
    </xf>
    <xf numFmtId="0" fontId="1" fillId="37" borderId="3" xfId="0" applyFont="1" applyFill="1" applyBorder="1" applyAlignment="1">
      <alignment horizontal="center"/>
    </xf>
    <xf numFmtId="2" fontId="1" fillId="37" borderId="3" xfId="0" applyNumberFormat="1" applyFont="1" applyFill="1" applyBorder="1" applyAlignment="1">
      <alignment horizontal="center"/>
    </xf>
    <xf numFmtId="167" fontId="1" fillId="37" borderId="3" xfId="0" applyNumberFormat="1" applyFont="1" applyFill="1" applyBorder="1" applyAlignment="1">
      <alignment horizontal="center" vertical="center"/>
    </xf>
    <xf numFmtId="167" fontId="1" fillId="37" borderId="3" xfId="0" applyNumberFormat="1" applyFont="1" applyFill="1" applyBorder="1" applyAlignment="1">
      <alignment horizontal="center"/>
    </xf>
    <xf numFmtId="1" fontId="1" fillId="37" borderId="3" xfId="0" applyNumberFormat="1" applyFont="1" applyFill="1" applyBorder="1" applyAlignment="1">
      <alignment horizontal="center"/>
    </xf>
    <xf numFmtId="1" fontId="1" fillId="38" borderId="3" xfId="0" applyNumberFormat="1" applyFont="1" applyFill="1" applyBorder="1" applyAlignment="1">
      <alignment horizontal="center"/>
    </xf>
    <xf numFmtId="9" fontId="1" fillId="38" borderId="3" xfId="0" applyNumberFormat="1" applyFont="1" applyFill="1" applyBorder="1" applyAlignment="1">
      <alignment horizontal="center"/>
    </xf>
    <xf numFmtId="0" fontId="1" fillId="39" borderId="3" xfId="0" applyFont="1" applyFill="1" applyBorder="1" applyAlignment="1">
      <alignment horizontal="left"/>
    </xf>
    <xf numFmtId="0" fontId="1" fillId="39" borderId="3" xfId="0" applyFont="1" applyFill="1" applyBorder="1" applyAlignment="1">
      <alignment horizontal="center"/>
    </xf>
    <xf numFmtId="2" fontId="1" fillId="40" borderId="3" xfId="0" applyNumberFormat="1" applyFont="1" applyFill="1" applyBorder="1" applyAlignment="1">
      <alignment horizontal="center"/>
    </xf>
    <xf numFmtId="0" fontId="1" fillId="40" borderId="3" xfId="0" applyFont="1" applyFill="1" applyBorder="1" applyAlignment="1">
      <alignment horizontal="center"/>
    </xf>
    <xf numFmtId="0" fontId="1" fillId="41" borderId="3" xfId="0" applyFont="1" applyFill="1" applyBorder="1" applyAlignment="1">
      <alignment horizontal="center"/>
    </xf>
    <xf numFmtId="1" fontId="1" fillId="42" borderId="3" xfId="0" applyNumberFormat="1" applyFont="1" applyFill="1" applyBorder="1" applyAlignment="1">
      <alignment horizontal="center"/>
    </xf>
    <xf numFmtId="166" fontId="1" fillId="42" borderId="3" xfId="0" applyNumberFormat="1" applyFont="1" applyFill="1" applyBorder="1" applyAlignment="1">
      <alignment horizontal="center"/>
    </xf>
    <xf numFmtId="167" fontId="1" fillId="32" borderId="3" xfId="0" applyNumberFormat="1" applyFont="1" applyFill="1" applyBorder="1" applyAlignment="1">
      <alignment horizontal="center"/>
    </xf>
    <xf numFmtId="166" fontId="1" fillId="32" borderId="3" xfId="2" applyNumberFormat="1" applyFont="1" applyFill="1" applyBorder="1" applyAlignment="1">
      <alignment horizontal="center"/>
    </xf>
    <xf numFmtId="167" fontId="1" fillId="32" borderId="3" xfId="2" applyNumberFormat="1" applyFont="1" applyFill="1" applyBorder="1" applyAlignment="1">
      <alignment horizontal="center"/>
    </xf>
    <xf numFmtId="1" fontId="1" fillId="44" borderId="3" xfId="0" applyNumberFormat="1" applyFont="1" applyFill="1" applyBorder="1" applyAlignment="1">
      <alignment horizontal="center"/>
    </xf>
    <xf numFmtId="1" fontId="1" fillId="41" borderId="3" xfId="0" applyNumberFormat="1" applyFont="1" applyFill="1" applyBorder="1" applyAlignment="1">
      <alignment horizontal="center"/>
    </xf>
    <xf numFmtId="1" fontId="1" fillId="45" borderId="3" xfId="0" applyNumberFormat="1" applyFont="1" applyFill="1" applyBorder="1" applyAlignment="1">
      <alignment horizontal="center"/>
    </xf>
    <xf numFmtId="1" fontId="1" fillId="32" borderId="3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9" fontId="1" fillId="0" borderId="3" xfId="0" applyNumberFormat="1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167" fontId="1" fillId="0" borderId="3" xfId="0" applyNumberFormat="1" applyFont="1" applyFill="1" applyBorder="1" applyAlignment="1">
      <alignment horizontal="center"/>
    </xf>
    <xf numFmtId="166" fontId="1" fillId="0" borderId="3" xfId="2" applyNumberFormat="1" applyFont="1" applyFill="1" applyBorder="1" applyAlignment="1">
      <alignment horizontal="center"/>
    </xf>
    <xf numFmtId="167" fontId="1" fillId="0" borderId="3" xfId="2" applyNumberFormat="1" applyFont="1" applyFill="1" applyBorder="1" applyAlignment="1">
      <alignment horizontal="center"/>
    </xf>
    <xf numFmtId="0" fontId="1" fillId="46" borderId="3" xfId="0" applyFont="1" applyFill="1" applyBorder="1" applyAlignment="1">
      <alignment horizontal="center"/>
    </xf>
    <xf numFmtId="9" fontId="1" fillId="46" borderId="3" xfId="0" applyNumberFormat="1" applyFont="1" applyFill="1" applyBorder="1" applyAlignment="1">
      <alignment horizontal="center"/>
    </xf>
    <xf numFmtId="1" fontId="1" fillId="47" borderId="3" xfId="0" applyNumberFormat="1" applyFont="1" applyFill="1" applyBorder="1" applyAlignment="1">
      <alignment horizontal="center"/>
    </xf>
    <xf numFmtId="1" fontId="1" fillId="48" borderId="3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1" fillId="39" borderId="3" xfId="0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/>
    </xf>
    <xf numFmtId="0" fontId="1" fillId="44" borderId="3" xfId="0" applyFont="1" applyFill="1" applyBorder="1" applyAlignment="1">
      <alignment horizontal="center"/>
    </xf>
    <xf numFmtId="9" fontId="1" fillId="44" borderId="3" xfId="0" applyNumberFormat="1" applyFont="1" applyFill="1" applyBorder="1" applyAlignment="1">
      <alignment horizontal="center"/>
    </xf>
    <xf numFmtId="0" fontId="1" fillId="49" borderId="3" xfId="0" applyFont="1" applyFill="1" applyBorder="1" applyAlignment="1">
      <alignment horizontal="center"/>
    </xf>
    <xf numFmtId="0" fontId="1" fillId="50" borderId="3" xfId="0" applyFont="1" applyFill="1" applyBorder="1" applyAlignment="1">
      <alignment horizontal="left"/>
    </xf>
    <xf numFmtId="0" fontId="1" fillId="50" borderId="3" xfId="0" applyFont="1" applyFill="1" applyBorder="1" applyAlignment="1">
      <alignment horizontal="center"/>
    </xf>
    <xf numFmtId="2" fontId="1" fillId="50" borderId="3" xfId="0" applyNumberFormat="1" applyFont="1" applyFill="1" applyBorder="1" applyAlignment="1">
      <alignment horizontal="center"/>
    </xf>
    <xf numFmtId="0" fontId="1" fillId="51" borderId="3" xfId="0" applyFont="1" applyFill="1" applyBorder="1" applyAlignment="1">
      <alignment horizontal="center"/>
    </xf>
    <xf numFmtId="1" fontId="1" fillId="51" borderId="3" xfId="0" applyNumberFormat="1" applyFont="1" applyFill="1" applyBorder="1" applyAlignment="1">
      <alignment horizontal="center"/>
    </xf>
    <xf numFmtId="166" fontId="1" fillId="50" borderId="3" xfId="0" applyNumberFormat="1" applyFont="1" applyFill="1" applyBorder="1" applyAlignment="1">
      <alignment horizontal="center"/>
    </xf>
    <xf numFmtId="167" fontId="1" fillId="53" borderId="3" xfId="0" applyNumberFormat="1" applyFont="1" applyFill="1" applyBorder="1" applyAlignment="1">
      <alignment horizontal="center"/>
    </xf>
    <xf numFmtId="166" fontId="1" fillId="53" borderId="3" xfId="2" applyNumberFormat="1" applyFont="1" applyFill="1" applyBorder="1" applyAlignment="1">
      <alignment horizontal="center"/>
    </xf>
    <xf numFmtId="167" fontId="1" fillId="53" borderId="3" xfId="2" applyNumberFormat="1" applyFont="1" applyFill="1" applyBorder="1" applyAlignment="1">
      <alignment horizontal="center"/>
    </xf>
    <xf numFmtId="1" fontId="1" fillId="54" borderId="3" xfId="0" applyNumberFormat="1" applyFont="1" applyFill="1" applyBorder="1" applyAlignment="1">
      <alignment horizontal="center"/>
    </xf>
    <xf numFmtId="1" fontId="1" fillId="50" borderId="3" xfId="0" applyNumberFormat="1" applyFont="1" applyFill="1" applyBorder="1" applyAlignment="1">
      <alignment horizontal="center"/>
    </xf>
    <xf numFmtId="0" fontId="1" fillId="55" borderId="3" xfId="0" applyFont="1" applyFill="1" applyBorder="1" applyAlignment="1">
      <alignment horizontal="left"/>
    </xf>
    <xf numFmtId="0" fontId="1" fillId="56" borderId="3" xfId="0" applyFont="1" applyFill="1" applyBorder="1" applyAlignment="1">
      <alignment horizontal="center"/>
    </xf>
    <xf numFmtId="2" fontId="1" fillId="56" borderId="3" xfId="0" applyNumberFormat="1" applyFont="1" applyFill="1" applyBorder="1" applyAlignment="1">
      <alignment horizontal="center"/>
    </xf>
    <xf numFmtId="167" fontId="1" fillId="57" borderId="3" xfId="0" applyNumberFormat="1" applyFont="1" applyFill="1" applyBorder="1" applyAlignment="1">
      <alignment horizontal="center"/>
    </xf>
    <xf numFmtId="0" fontId="1" fillId="58" borderId="3" xfId="0" applyFont="1" applyFill="1" applyBorder="1" applyAlignment="1">
      <alignment horizontal="center"/>
    </xf>
    <xf numFmtId="9" fontId="1" fillId="58" borderId="3" xfId="0" applyNumberFormat="1" applyFont="1" applyFill="1" applyBorder="1" applyAlignment="1">
      <alignment horizontal="center"/>
    </xf>
    <xf numFmtId="1" fontId="1" fillId="59" borderId="3" xfId="0" applyNumberFormat="1" applyFont="1" applyFill="1" applyBorder="1" applyAlignment="1">
      <alignment horizontal="center"/>
    </xf>
    <xf numFmtId="167" fontId="1" fillId="55" borderId="3" xfId="0" applyNumberFormat="1" applyFont="1" applyFill="1" applyBorder="1" applyAlignment="1">
      <alignment horizontal="center"/>
    </xf>
    <xf numFmtId="166" fontId="1" fillId="55" borderId="3" xfId="2" applyNumberFormat="1" applyFont="1" applyFill="1" applyBorder="1" applyAlignment="1">
      <alignment horizontal="center"/>
    </xf>
    <xf numFmtId="167" fontId="1" fillId="55" borderId="3" xfId="2" applyNumberFormat="1" applyFont="1" applyFill="1" applyBorder="1" applyAlignment="1">
      <alignment horizontal="center"/>
    </xf>
    <xf numFmtId="1" fontId="1" fillId="58" borderId="3" xfId="0" applyNumberFormat="1" applyFont="1" applyFill="1" applyBorder="1" applyAlignment="1">
      <alignment horizontal="center"/>
    </xf>
    <xf numFmtId="1" fontId="1" fillId="56" borderId="3" xfId="0" applyNumberFormat="1" applyFont="1" applyFill="1" applyBorder="1" applyAlignment="1">
      <alignment horizontal="center"/>
    </xf>
    <xf numFmtId="1" fontId="1" fillId="60" borderId="3" xfId="0" applyNumberFormat="1" applyFont="1" applyFill="1" applyBorder="1" applyAlignment="1">
      <alignment horizontal="center"/>
    </xf>
    <xf numFmtId="1" fontId="1" fillId="55" borderId="3" xfId="0" applyNumberFormat="1" applyFont="1" applyFill="1" applyBorder="1" applyAlignment="1">
      <alignment horizontal="center"/>
    </xf>
    <xf numFmtId="167" fontId="1" fillId="29" borderId="3" xfId="0" applyNumberFormat="1" applyFont="1" applyFill="1" applyBorder="1" applyAlignment="1">
      <alignment horizontal="center"/>
    </xf>
    <xf numFmtId="167" fontId="1" fillId="34" borderId="3" xfId="0" applyNumberFormat="1" applyFont="1" applyFill="1" applyBorder="1" applyAlignment="1">
      <alignment horizontal="center"/>
    </xf>
    <xf numFmtId="167" fontId="1" fillId="34" borderId="3" xfId="0" applyNumberFormat="1" applyFont="1" applyFill="1" applyBorder="1" applyAlignment="1">
      <alignment horizontal="center" vertical="center"/>
    </xf>
    <xf numFmtId="0" fontId="1" fillId="43" borderId="3" xfId="0" applyFont="1" applyFill="1" applyBorder="1" applyAlignment="1">
      <alignment horizontal="center"/>
    </xf>
    <xf numFmtId="1" fontId="1" fillId="34" borderId="3" xfId="0" applyNumberFormat="1" applyFont="1" applyFill="1" applyBorder="1" applyAlignment="1">
      <alignment horizontal="center" vertical="center"/>
    </xf>
    <xf numFmtId="0" fontId="1" fillId="34" borderId="3" xfId="0" applyFont="1" applyFill="1" applyBorder="1" applyAlignment="1">
      <alignment horizontal="center"/>
    </xf>
    <xf numFmtId="1" fontId="1" fillId="34" borderId="3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9" fontId="1" fillId="34" borderId="3" xfId="2" applyFont="1" applyFill="1" applyBorder="1" applyAlignment="1">
      <alignment horizontal="center"/>
    </xf>
    <xf numFmtId="167" fontId="1" fillId="0" borderId="3" xfId="0" applyNumberFormat="1" applyFont="1" applyFill="1" applyBorder="1" applyAlignment="1">
      <alignment horizontal="center" vertical="center"/>
    </xf>
    <xf numFmtId="167" fontId="1" fillId="52" borderId="3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5597"/>
      <rgbColor rgb="FF000080"/>
      <rgbColor rgb="FF548135"/>
      <rgbColor rgb="FF800080"/>
      <rgbColor rgb="FF00729A"/>
      <rgbColor rgb="FFBFBFBF"/>
      <rgbColor rgb="FF808080"/>
      <rgbColor rgb="FFA9D18E"/>
      <rgbColor rgb="FF2E75B5"/>
      <rgbColor rgb="FFFFF2CC"/>
      <rgbColor rgb="FFDE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218583"/>
      <rgbColor rgb="FF0000FF"/>
      <rgbColor rgb="FF0097CC"/>
      <rgbColor rgb="FFDEEAF6"/>
      <rgbColor rgb="FFE2F0D9"/>
      <rgbColor rgb="FFE2EFD9"/>
      <rgbColor rgb="FFB1BBB1"/>
      <rgbColor rgb="FFF2F2F2"/>
      <rgbColor rgb="FFCC99FF"/>
      <rgbColor rgb="FFDAE3F3"/>
      <rgbColor rgb="FF4472C4"/>
      <rgbColor rgb="FF33CCCC"/>
      <rgbColor rgb="FF92D050"/>
      <rgbColor rgb="FFFFC000"/>
      <rgbColor rgb="FFFF9900"/>
      <rgbColor rgb="FFED7D31"/>
      <rgbColor rgb="FF595959"/>
      <rgbColor rgb="FF70AD47"/>
      <rgbColor rgb="FF1E4E79"/>
      <rgbColor rgb="FF548235"/>
      <rgbColor rgb="FF0D0D0D"/>
      <rgbColor rgb="FF385724"/>
      <rgbColor rgb="FF843C0B"/>
      <rgbColor rgb="FF2E75B6"/>
      <rgbColor rgb="FF1F4E79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4371310247599"/>
          <c:y val="4.1022154229701402E-2"/>
          <c:w val="0.84655035685963498"/>
          <c:h val="0.84854665986741495"/>
        </c:manualLayout>
      </c:layout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Packs!$I$4:$I$1723</c:f>
              <c:numCache>
                <c:formatCode>0.00</c:formatCode>
                <c:ptCount val="1720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Packs!$AW$4:$AW$1723</c:f>
              <c:numCache>
                <c:formatCode>General</c:formatCode>
                <c:ptCount val="1720"/>
                <c:pt idx="1">
                  <c:v>143.98400000000001</c:v>
                </c:pt>
                <c:pt idx="2">
                  <c:v>179.976</c:v>
                </c:pt>
                <c:pt idx="3">
                  <c:v>179.976</c:v>
                </c:pt>
                <c:pt idx="4">
                  <c:v>179.976</c:v>
                </c:pt>
                <c:pt idx="5">
                  <c:v>142.06399999999999</c:v>
                </c:pt>
                <c:pt idx="6">
                  <c:v>179.976</c:v>
                </c:pt>
                <c:pt idx="7">
                  <c:v>179.976</c:v>
                </c:pt>
                <c:pt idx="8">
                  <c:v>179.976</c:v>
                </c:pt>
                <c:pt idx="9" formatCode="0">
                  <c:v>67</c:v>
                </c:pt>
                <c:pt idx="10" formatCode="0">
                  <c:v>38</c:v>
                </c:pt>
                <c:pt idx="11" formatCode="0">
                  <c:v>63</c:v>
                </c:pt>
                <c:pt idx="15" formatCode="0">
                  <c:v>113.72972972973</c:v>
                </c:pt>
                <c:pt idx="16" formatCode="0">
                  <c:v>111.72972972973</c:v>
                </c:pt>
                <c:pt idx="17">
                  <c:v>126.4</c:v>
                </c:pt>
                <c:pt idx="22">
                  <c:v>256</c:v>
                </c:pt>
                <c:pt idx="24" formatCode="0.0">
                  <c:v>168.333333333333</c:v>
                </c:pt>
                <c:pt idx="27" formatCode="0">
                  <c:v>159.12799999999999</c:v>
                </c:pt>
                <c:pt idx="36" formatCode="0">
                  <c:v>186.62666666666701</c:v>
                </c:pt>
                <c:pt idx="39">
                  <c:v>127.512</c:v>
                </c:pt>
                <c:pt idx="45">
                  <c:v>255.56800000000001</c:v>
                </c:pt>
                <c:pt idx="46">
                  <c:v>178.15600000000001</c:v>
                </c:pt>
                <c:pt idx="47">
                  <c:v>182</c:v>
                </c:pt>
                <c:pt idx="48">
                  <c:v>182</c:v>
                </c:pt>
                <c:pt idx="49">
                  <c:v>138.184</c:v>
                </c:pt>
                <c:pt idx="50">
                  <c:v>181.976</c:v>
                </c:pt>
                <c:pt idx="51">
                  <c:v>181.976</c:v>
                </c:pt>
                <c:pt idx="52">
                  <c:v>138.184</c:v>
                </c:pt>
                <c:pt idx="53">
                  <c:v>182</c:v>
                </c:pt>
                <c:pt idx="54">
                  <c:v>182</c:v>
                </c:pt>
                <c:pt idx="55">
                  <c:v>182</c:v>
                </c:pt>
                <c:pt idx="56">
                  <c:v>182</c:v>
                </c:pt>
                <c:pt idx="57" formatCode="0">
                  <c:v>235.88079999999999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8-4303-A7EE-C57F0F31B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72901"/>
        <c:axId val="85492119"/>
      </c:scatterChart>
      <c:valAx>
        <c:axId val="25072901"/>
        <c:scaling>
          <c:orientation val="minMax"/>
          <c:max val="175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defRPr>
                </a:pPr>
                <a:r>
                  <a: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rPr>
                  <a:t>Pack Total Energy [kWh]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0D0D0D"/>
                </a:solidFill>
                <a:latin typeface="Calibri"/>
                <a:ea typeface="Calibri"/>
              </a:defRPr>
            </a:pPr>
            <a:endParaRPr lang="en-US"/>
          </a:p>
        </c:txPr>
        <c:crossAx val="85492119"/>
        <c:crosses val="autoZero"/>
        <c:crossBetween val="midCat"/>
        <c:majorUnit val="25"/>
      </c:valAx>
      <c:valAx>
        <c:axId val="85492119"/>
        <c:scaling>
          <c:orientation val="minMax"/>
          <c:max val="40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defRPr>
                </a:pPr>
                <a:r>
                  <a: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rPr>
                  <a:t>Pack Mass - Cell Mass [kg]</a:t>
                </a:r>
              </a:p>
            </c:rich>
          </c:tx>
          <c:layout>
            <c:manualLayout>
              <c:xMode val="edge"/>
              <c:yMode val="edge"/>
              <c:x val="9.7805974094633905E-3"/>
              <c:y val="0.286135191795569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0D0D0D"/>
                </a:solidFill>
                <a:latin typeface="Calibri"/>
                <a:ea typeface="Calibri"/>
              </a:defRPr>
            </a:pPr>
            <a:endParaRPr lang="en-US"/>
          </a:p>
        </c:txPr>
        <c:crossAx val="2507290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Packs!$C$38:$C$1120</c:f>
              <c:strCache>
                <c:ptCount val="1083"/>
                <c:pt idx="0">
                  <c:v>Nio</c:v>
                </c:pt>
                <c:pt idx="1">
                  <c:v>Nio</c:v>
                </c:pt>
                <c:pt idx="2">
                  <c:v>Nio</c:v>
                </c:pt>
                <c:pt idx="3">
                  <c:v>Nio</c:v>
                </c:pt>
                <c:pt idx="4">
                  <c:v>Nio</c:v>
                </c:pt>
                <c:pt idx="5">
                  <c:v>Nissan</c:v>
                </c:pt>
                <c:pt idx="6">
                  <c:v>Nissan</c:v>
                </c:pt>
                <c:pt idx="7">
                  <c:v>Nissan</c:v>
                </c:pt>
                <c:pt idx="8">
                  <c:v>Nissan</c:v>
                </c:pt>
                <c:pt idx="9">
                  <c:v>Nissan</c:v>
                </c:pt>
                <c:pt idx="10">
                  <c:v>REPT</c:v>
                </c:pt>
                <c:pt idx="11">
                  <c:v>Rivian</c:v>
                </c:pt>
                <c:pt idx="12">
                  <c:v>Toyota</c:v>
                </c:pt>
                <c:pt idx="13">
                  <c:v>Volkswagen</c:v>
                </c:pt>
                <c:pt idx="14">
                  <c:v>Volkswagen</c:v>
                </c:pt>
                <c:pt idx="15">
                  <c:v>Volkswagen</c:v>
                </c:pt>
                <c:pt idx="16">
                  <c:v>Volkswagen</c:v>
                </c:pt>
                <c:pt idx="17">
                  <c:v>Volkswagen</c:v>
                </c:pt>
                <c:pt idx="18">
                  <c:v>Volkswagen</c:v>
                </c:pt>
                <c:pt idx="19">
                  <c:v>Volkswagen</c:v>
                </c:pt>
                <c:pt idx="20">
                  <c:v>Volkswagen</c:v>
                </c:pt>
                <c:pt idx="21">
                  <c:v>Volkswagen</c:v>
                </c:pt>
                <c:pt idx="22">
                  <c:v>Volkswagen</c:v>
                </c:pt>
                <c:pt idx="23">
                  <c:v>Zeekr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11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Packs!$BM$4:$BM$1746</c:f>
              <c:numCache>
                <c:formatCode>0</c:formatCode>
                <c:ptCount val="1743"/>
                <c:pt idx="1">
                  <c:v>157.142857142857</c:v>
                </c:pt>
                <c:pt idx="2">
                  <c:v>167.689161554192</c:v>
                </c:pt>
                <c:pt idx="3">
                  <c:v>167.689161554192</c:v>
                </c:pt>
                <c:pt idx="4">
                  <c:v>167.689161554192</c:v>
                </c:pt>
                <c:pt idx="5">
                  <c:v>157.142857142857</c:v>
                </c:pt>
                <c:pt idx="6">
                  <c:v>167.689161554192</c:v>
                </c:pt>
                <c:pt idx="7">
                  <c:v>167.689161554192</c:v>
                </c:pt>
                <c:pt idx="8">
                  <c:v>167.689161554192</c:v>
                </c:pt>
                <c:pt idx="9">
                  <c:v>151.79856115107901</c:v>
                </c:pt>
                <c:pt idx="10">
                  <c:v>90.689361702127698</c:v>
                </c:pt>
                <c:pt idx="11">
                  <c:v>129.72</c:v>
                </c:pt>
                <c:pt idx="12">
                  <c:v>174</c:v>
                </c:pt>
                <c:pt idx="13">
                  <c:v>148.47838728435701</c:v>
                </c:pt>
                <c:pt idx="14">
                  <c:v>174</c:v>
                </c:pt>
                <c:pt idx="15">
                  <c:v>147.42857142857099</c:v>
                </c:pt>
                <c:pt idx="16">
                  <c:v>147.95698924731201</c:v>
                </c:pt>
                <c:pt idx="17">
                  <c:v>85</c:v>
                </c:pt>
                <c:pt idx="18">
                  <c:v>140.44943820224699</c:v>
                </c:pt>
                <c:pt idx="19">
                  <c:v>140.44943820224699</c:v>
                </c:pt>
                <c:pt idx="20">
                  <c:v>140.44943820224699</c:v>
                </c:pt>
                <c:pt idx="21">
                  <c:v>140.44943820224699</c:v>
                </c:pt>
                <c:pt idx="22">
                  <c:v>147.86885245901601</c:v>
                </c:pt>
                <c:pt idx="23">
                  <c:v>126.081370449679</c:v>
                </c:pt>
                <c:pt idx="24">
                  <c:v>217.777777777778</c:v>
                </c:pt>
                <c:pt idx="25">
                  <c:v>180.18018018018</c:v>
                </c:pt>
                <c:pt idx="26">
                  <c:v>180.18018018018</c:v>
                </c:pt>
                <c:pt idx="27">
                  <c:v>257.84765217391299</c:v>
                </c:pt>
                <c:pt idx="28">
                  <c:v>133.333333333333</c:v>
                </c:pt>
                <c:pt idx="29">
                  <c:v>140.186915887851</c:v>
                </c:pt>
                <c:pt idx="30">
                  <c:v>180.18018018018</c:v>
                </c:pt>
                <c:pt idx="31">
                  <c:v>133.333333333333</c:v>
                </c:pt>
                <c:pt idx="32">
                  <c:v>140.186915887851</c:v>
                </c:pt>
                <c:pt idx="33">
                  <c:v>140.186915887851</c:v>
                </c:pt>
                <c:pt idx="34">
                  <c:v>180.18018018018</c:v>
                </c:pt>
                <c:pt idx="35">
                  <c:v>180.18018018018</c:v>
                </c:pt>
                <c:pt idx="36">
                  <c:v>260.86956521739103</c:v>
                </c:pt>
                <c:pt idx="37">
                  <c:v>140.186915887851</c:v>
                </c:pt>
                <c:pt idx="38">
                  <c:v>180.18018018018</c:v>
                </c:pt>
                <c:pt idx="39">
                  <c:v>130.23102310230999</c:v>
                </c:pt>
                <c:pt idx="40" formatCode="0.0">
                  <c:v>145.1</c:v>
                </c:pt>
                <c:pt idx="41" formatCode="0.0">
                  <c:v>156.4</c:v>
                </c:pt>
                <c:pt idx="42" formatCode="0.0">
                  <c:v>156.4</c:v>
                </c:pt>
                <c:pt idx="43" formatCode="0.0">
                  <c:v>156.4</c:v>
                </c:pt>
                <c:pt idx="45">
                  <c:v>177.30452261306499</c:v>
                </c:pt>
                <c:pt idx="46">
                  <c:v>110.77423728813601</c:v>
                </c:pt>
                <c:pt idx="47">
                  <c:v>166.98574338085501</c:v>
                </c:pt>
                <c:pt idx="48">
                  <c:v>166.98574338085501</c:v>
                </c:pt>
                <c:pt idx="49">
                  <c:v>164.89361702127701</c:v>
                </c:pt>
                <c:pt idx="50">
                  <c:v>167.00610997963301</c:v>
                </c:pt>
                <c:pt idx="51" formatCode="0.0">
                  <c:v>161.69999999999999</c:v>
                </c:pt>
                <c:pt idx="52" formatCode="0.0">
                  <c:v>164.6</c:v>
                </c:pt>
                <c:pt idx="53" formatCode="0.0">
                  <c:v>161.69999999999999</c:v>
                </c:pt>
                <c:pt idx="54">
                  <c:v>167.00610997963301</c:v>
                </c:pt>
                <c:pt idx="55">
                  <c:v>167.00610997963301</c:v>
                </c:pt>
                <c:pt idx="56">
                  <c:v>167.00610997963301</c:v>
                </c:pt>
                <c:pt idx="57">
                  <c:v>192.572214580468</c:v>
                </c:pt>
              </c:numCache>
            </c:numRef>
          </c:xVal>
          <c:yVal>
            <c:numRef>
              <c:f>Packs!$BO$4:$BO$1746</c:f>
              <c:numCache>
                <c:formatCode>0</c:formatCode>
                <c:ptCount val="1743"/>
                <c:pt idx="1">
                  <c:v>402.857142857143</c:v>
                </c:pt>
                <c:pt idx="4">
                  <c:v>507.15746421267897</c:v>
                </c:pt>
                <c:pt idx="5">
                  <c:v>396.82539682539698</c:v>
                </c:pt>
                <c:pt idx="9">
                  <c:v>539.56834532374103</c:v>
                </c:pt>
                <c:pt idx="10">
                  <c:v>591.01654846335703</c:v>
                </c:pt>
                <c:pt idx="11">
                  <c:v>542.53472222222194</c:v>
                </c:pt>
                <c:pt idx="12">
                  <c:v>611.71032357472995</c:v>
                </c:pt>
                <c:pt idx="13">
                  <c:v>531.11068036441202</c:v>
                </c:pt>
                <c:pt idx="14">
                  <c:v>902.92758089368294</c:v>
                </c:pt>
                <c:pt idx="15">
                  <c:v>696.42857142857099</c:v>
                </c:pt>
                <c:pt idx="16">
                  <c:v>412.18637992831498</c:v>
                </c:pt>
                <c:pt idx="17">
                  <c:v>563.08411214953298</c:v>
                </c:pt>
                <c:pt idx="22">
                  <c:v>535.51912568306</c:v>
                </c:pt>
                <c:pt idx="23">
                  <c:v>820.21413276231306</c:v>
                </c:pt>
                <c:pt idx="24">
                  <c:v>318.97926634768697</c:v>
                </c:pt>
                <c:pt idx="25">
                  <c:v>576.57657657657705</c:v>
                </c:pt>
                <c:pt idx="26">
                  <c:v>864.86486486486501</c:v>
                </c:pt>
                <c:pt idx="27">
                  <c:v>626.08695652173901</c:v>
                </c:pt>
                <c:pt idx="28">
                  <c:v>914.28571428571399</c:v>
                </c:pt>
                <c:pt idx="29">
                  <c:v>897.19626168224295</c:v>
                </c:pt>
                <c:pt idx="30">
                  <c:v>864.86486486486501</c:v>
                </c:pt>
                <c:pt idx="31">
                  <c:v>761.90476190476204</c:v>
                </c:pt>
                <c:pt idx="32">
                  <c:v>747.66355140186897</c:v>
                </c:pt>
                <c:pt idx="33">
                  <c:v>747.66355140186897</c:v>
                </c:pt>
                <c:pt idx="34">
                  <c:v>720.72072072072103</c:v>
                </c:pt>
                <c:pt idx="35">
                  <c:v>720.72072072072103</c:v>
                </c:pt>
                <c:pt idx="36">
                  <c:v>695.65217391304395</c:v>
                </c:pt>
                <c:pt idx="37">
                  <c:v>897.19626168224295</c:v>
                </c:pt>
                <c:pt idx="38">
                  <c:v>864.86486486486501</c:v>
                </c:pt>
                <c:pt idx="39">
                  <c:v>403.37367070040301</c:v>
                </c:pt>
                <c:pt idx="40">
                  <c:v>399.08783867071003</c:v>
                </c:pt>
                <c:pt idx="41">
                  <c:v>347.04344482891202</c:v>
                </c:pt>
                <c:pt idx="42">
                  <c:v>432.52595155709298</c:v>
                </c:pt>
                <c:pt idx="43">
                  <c:v>557.47789311803194</c:v>
                </c:pt>
                <c:pt idx="45">
                  <c:v>866.83417085427095</c:v>
                </c:pt>
                <c:pt idx="46">
                  <c:v>336.37548891786201</c:v>
                </c:pt>
                <c:pt idx="47">
                  <c:v>339.44331296673499</c:v>
                </c:pt>
                <c:pt idx="48">
                  <c:v>339.44331296673499</c:v>
                </c:pt>
                <c:pt idx="49">
                  <c:v>443.26241134751803</c:v>
                </c:pt>
                <c:pt idx="50">
                  <c:v>339.44331296673499</c:v>
                </c:pt>
                <c:pt idx="57">
                  <c:v>611.34036374751599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0-46EF-8B1E-3E0D99CC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0294"/>
        <c:axId val="51817206"/>
      </c:scatterChart>
      <c:valAx>
        <c:axId val="2464029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defRPr>
                </a:pPr>
                <a:r>
                  <a: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rPr>
                  <a:t>Pack Gravimetric Energy Density [Wh/kg]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D0D0D"/>
                </a:solidFill>
                <a:latin typeface="Calibri"/>
                <a:ea typeface="Calibri"/>
              </a:defRPr>
            </a:pPr>
            <a:endParaRPr lang="en-US"/>
          </a:p>
        </c:txPr>
        <c:crossAx val="51817206"/>
        <c:crosses val="autoZero"/>
        <c:crossBetween val="midCat"/>
        <c:majorUnit val="40"/>
      </c:valAx>
      <c:valAx>
        <c:axId val="51817206"/>
        <c:scaling>
          <c:logBase val="10"/>
          <c:orientation val="minMax"/>
          <c:min val="1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defRPr>
                </a:pPr>
                <a:r>
                  <a: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rPr>
                  <a:t>Pack Gravimetric Power Density [W10s/kg]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out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D0D0D"/>
                </a:solidFill>
                <a:latin typeface="Calibri"/>
                <a:ea typeface="Calibri"/>
              </a:defRPr>
            </a:pPr>
            <a:endParaRPr lang="en-US"/>
          </a:p>
        </c:txPr>
        <c:crossAx val="2464029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6480" cap="rnd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Packs!$FR$119:$FR$123</c:f>
              <c:numCache>
                <c:formatCode>General</c:formatCode>
                <c:ptCount val="5"/>
              </c:numCache>
            </c:numRef>
          </c:xVal>
          <c:yVal>
            <c:numRef>
              <c:f>Packs!$FS$119:$FS$123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26-4278-A0D1-4CF9F9262DFE}"/>
            </c:ext>
          </c:extLst>
        </c:ser>
        <c:ser>
          <c:idx val="1"/>
          <c:order val="1"/>
          <c:spPr>
            <a:ln w="6480" cap="rnd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Packs!$FR$119:$FR$123</c:f>
              <c:numCache>
                <c:formatCode>General</c:formatCode>
                <c:ptCount val="5"/>
              </c:numCache>
            </c:numRef>
          </c:xVal>
          <c:yVal>
            <c:numRef>
              <c:f>Packs!$FT$119:$FT$123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26-4278-A0D1-4CF9F9262DFE}"/>
            </c:ext>
          </c:extLst>
        </c:ser>
        <c:ser>
          <c:idx val="2"/>
          <c:order val="2"/>
          <c:spPr>
            <a:ln w="6480" cap="rnd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Packs!$FR$119:$FR$123</c:f>
              <c:numCache>
                <c:formatCode>General</c:formatCode>
                <c:ptCount val="5"/>
              </c:numCache>
            </c:numRef>
          </c:xVal>
          <c:yVal>
            <c:numRef>
              <c:f>Packs!$FU$119:$FU$123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26-4278-A0D1-4CF9F9262DFE}"/>
            </c:ext>
          </c:extLst>
        </c:ser>
        <c:ser>
          <c:idx val="3"/>
          <c:order val="3"/>
          <c:spPr>
            <a:ln w="6480" cap="rnd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Packs!$FR$119:$FR$123</c:f>
              <c:numCache>
                <c:formatCode>General</c:formatCode>
                <c:ptCount val="5"/>
              </c:numCache>
            </c:numRef>
          </c:xVal>
          <c:yVal>
            <c:numRef>
              <c:f>Packs!$FV$119:$FV$123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26-4278-A0D1-4CF9F9262DFE}"/>
            </c:ext>
          </c:extLst>
        </c:ser>
        <c:ser>
          <c:idx val="4"/>
          <c:order val="4"/>
          <c:spPr>
            <a:ln w="6480" cap="rnd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Packs!$FR$119:$FR$123</c:f>
              <c:numCache>
                <c:formatCode>General</c:formatCode>
                <c:ptCount val="5"/>
              </c:numCache>
            </c:numRef>
          </c:xVal>
          <c:yVal>
            <c:numRef>
              <c:f>Packs!$FW$119:$FW$123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26-4278-A0D1-4CF9F9262DFE}"/>
            </c:ext>
          </c:extLst>
        </c:ser>
        <c:ser>
          <c:idx val="5"/>
          <c:order val="5"/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Pt>
            <c:idx val="128"/>
            <c:marker>
              <c:spPr>
                <a:solidFill>
                  <a:srgbClr val="70AD47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526-4278-A0D1-4CF9F9262DFE}"/>
              </c:ext>
            </c:extLst>
          </c:dPt>
          <c:dLbls>
            <c:dLbl>
              <c:idx val="12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526-4278-A0D1-4CF9F9262D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Packs!$I$4:$I$1722</c:f>
              <c:numCache>
                <c:formatCode>0.00</c:formatCode>
                <c:ptCount val="1719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Packs!$AU$4:$AU$1722</c:f>
              <c:numCache>
                <c:formatCode>General</c:formatCode>
                <c:ptCount val="1719"/>
                <c:pt idx="1">
                  <c:v>350</c:v>
                </c:pt>
                <c:pt idx="2">
                  <c:v>489</c:v>
                </c:pt>
                <c:pt idx="3">
                  <c:v>489</c:v>
                </c:pt>
                <c:pt idx="4">
                  <c:v>489</c:v>
                </c:pt>
                <c:pt idx="5">
                  <c:v>350</c:v>
                </c:pt>
                <c:pt idx="6">
                  <c:v>489</c:v>
                </c:pt>
                <c:pt idx="7">
                  <c:v>489</c:v>
                </c:pt>
                <c:pt idx="8">
                  <c:v>489</c:v>
                </c:pt>
                <c:pt idx="9">
                  <c:v>278</c:v>
                </c:pt>
                <c:pt idx="10">
                  <c:v>235</c:v>
                </c:pt>
                <c:pt idx="11">
                  <c:v>256</c:v>
                </c:pt>
                <c:pt idx="12" formatCode="0">
                  <c:v>649</c:v>
                </c:pt>
                <c:pt idx="13">
                  <c:v>515.9</c:v>
                </c:pt>
                <c:pt idx="14" formatCode="0">
                  <c:v>649</c:v>
                </c:pt>
                <c:pt idx="15">
                  <c:v>560</c:v>
                </c:pt>
                <c:pt idx="16">
                  <c:v>558</c:v>
                </c:pt>
                <c:pt idx="17">
                  <c:v>428</c:v>
                </c:pt>
                <c:pt idx="18">
                  <c:v>534</c:v>
                </c:pt>
                <c:pt idx="19">
                  <c:v>534</c:v>
                </c:pt>
                <c:pt idx="20">
                  <c:v>534</c:v>
                </c:pt>
                <c:pt idx="21">
                  <c:v>534</c:v>
                </c:pt>
                <c:pt idx="22">
                  <c:v>610</c:v>
                </c:pt>
                <c:pt idx="23">
                  <c:v>46.7</c:v>
                </c:pt>
                <c:pt idx="24">
                  <c:v>495</c:v>
                </c:pt>
                <c:pt idx="25">
                  <c:v>555</c:v>
                </c:pt>
                <c:pt idx="26">
                  <c:v>555</c:v>
                </c:pt>
                <c:pt idx="27">
                  <c:v>575</c:v>
                </c:pt>
                <c:pt idx="28">
                  <c:v>525</c:v>
                </c:pt>
                <c:pt idx="29">
                  <c:v>535</c:v>
                </c:pt>
                <c:pt idx="30">
                  <c:v>555</c:v>
                </c:pt>
                <c:pt idx="31" formatCode="0">
                  <c:v>525</c:v>
                </c:pt>
                <c:pt idx="32">
                  <c:v>535</c:v>
                </c:pt>
                <c:pt idx="33" formatCode="0">
                  <c:v>535</c:v>
                </c:pt>
                <c:pt idx="34" formatCode="0">
                  <c:v>555</c:v>
                </c:pt>
                <c:pt idx="35" formatCode="0">
                  <c:v>555</c:v>
                </c:pt>
                <c:pt idx="36" formatCode="0">
                  <c:v>575</c:v>
                </c:pt>
                <c:pt idx="37">
                  <c:v>535</c:v>
                </c:pt>
                <c:pt idx="38">
                  <c:v>555</c:v>
                </c:pt>
                <c:pt idx="39">
                  <c:v>303</c:v>
                </c:pt>
                <c:pt idx="40">
                  <c:v>450.7</c:v>
                </c:pt>
                <c:pt idx="41">
                  <c:v>578</c:v>
                </c:pt>
                <c:pt idx="42">
                  <c:v>578</c:v>
                </c:pt>
                <c:pt idx="43">
                  <c:v>578</c:v>
                </c:pt>
                <c:pt idx="45" formatCode="0">
                  <c:v>796</c:v>
                </c:pt>
                <c:pt idx="46">
                  <c:v>383.5</c:v>
                </c:pt>
                <c:pt idx="47">
                  <c:v>491</c:v>
                </c:pt>
                <c:pt idx="48">
                  <c:v>491</c:v>
                </c:pt>
                <c:pt idx="49">
                  <c:v>376</c:v>
                </c:pt>
                <c:pt idx="50">
                  <c:v>491</c:v>
                </c:pt>
                <c:pt idx="51">
                  <c:v>491</c:v>
                </c:pt>
                <c:pt idx="52">
                  <c:v>376</c:v>
                </c:pt>
                <c:pt idx="53">
                  <c:v>491</c:v>
                </c:pt>
                <c:pt idx="54">
                  <c:v>491</c:v>
                </c:pt>
                <c:pt idx="55">
                  <c:v>491</c:v>
                </c:pt>
                <c:pt idx="56">
                  <c:v>491</c:v>
                </c:pt>
                <c:pt idx="57">
                  <c:v>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26-4278-A0D1-4CF9F9262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73405"/>
        <c:axId val="99122362"/>
      </c:scatterChart>
      <c:valAx>
        <c:axId val="80973405"/>
        <c:scaling>
          <c:logBase val="10"/>
          <c:orientation val="minMax"/>
          <c:min val="0.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defRPr>
                </a:pPr>
                <a:r>
                  <a: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rPr>
                  <a:t>Pack Total Energy [kWh]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D0D0D"/>
                </a:solidFill>
                <a:latin typeface="Calibri"/>
                <a:ea typeface="Calibri"/>
              </a:defRPr>
            </a:pPr>
            <a:endParaRPr lang="en-US"/>
          </a:p>
        </c:txPr>
        <c:crossAx val="99122362"/>
        <c:crosses val="autoZero"/>
        <c:crossBetween val="midCat"/>
        <c:minorUnit val="9"/>
      </c:valAx>
      <c:valAx>
        <c:axId val="99122362"/>
        <c:scaling>
          <c:logBase val="10"/>
          <c:orientation val="minMax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defRPr>
                </a:pPr>
                <a:r>
                  <a:rPr lang="en-US" sz="1400" b="0" strike="noStrike" spc="-1">
                    <a:solidFill>
                      <a:srgbClr val="0D0D0D"/>
                    </a:solidFill>
                    <a:latin typeface="Calibri"/>
                    <a:ea typeface="Calibri"/>
                  </a:rPr>
                  <a:t>Pack Mass [kg]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D0D0D"/>
                </a:solidFill>
                <a:latin typeface="Calibri"/>
                <a:ea typeface="Calibri"/>
              </a:defRPr>
            </a:pPr>
            <a:endParaRPr lang="en-US"/>
          </a:p>
        </c:txPr>
        <c:crossAx val="809734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GB" sz="1800" b="0" strike="noStrike" spc="-1">
                <a:solidFill>
                  <a:srgbClr val="000000"/>
                </a:solidFill>
                <a:latin typeface="Calibri"/>
                <a:ea typeface="Calibri"/>
              </a:rPr>
              <a:t>Battery Packs</a:t>
            </a:r>
          </a:p>
        </c:rich>
      </c:tx>
      <c:layout>
        <c:manualLayout>
          <c:xMode val="edge"/>
          <c:yMode val="edge"/>
          <c:x val="0.78786746387643303"/>
          <c:y val="4.7013274336283203E-2"/>
        </c:manualLayout>
      </c:layout>
      <c:overlay val="0"/>
      <c:spPr>
        <a:solidFill>
          <a:srgbClr val="FFFFFF"/>
        </a:solidFill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15080551403"/>
          <c:y val="3.9961283185840697E-2"/>
          <c:w val="0.85160272380003299"/>
          <c:h val="0.83116703539823"/>
        </c:manualLayout>
      </c:layout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Packs!$BM$4:$BM$1528</c:f>
              <c:numCache>
                <c:formatCode>0</c:formatCode>
                <c:ptCount val="1525"/>
                <c:pt idx="1">
                  <c:v>157.142857142857</c:v>
                </c:pt>
                <c:pt idx="2">
                  <c:v>167.689161554192</c:v>
                </c:pt>
                <c:pt idx="3">
                  <c:v>167.689161554192</c:v>
                </c:pt>
                <c:pt idx="4">
                  <c:v>167.689161554192</c:v>
                </c:pt>
                <c:pt idx="5">
                  <c:v>157.142857142857</c:v>
                </c:pt>
                <c:pt idx="6">
                  <c:v>167.689161554192</c:v>
                </c:pt>
                <c:pt idx="7">
                  <c:v>167.689161554192</c:v>
                </c:pt>
                <c:pt idx="8">
                  <c:v>167.689161554192</c:v>
                </c:pt>
                <c:pt idx="9">
                  <c:v>151.79856115107901</c:v>
                </c:pt>
                <c:pt idx="10">
                  <c:v>90.689361702127698</c:v>
                </c:pt>
                <c:pt idx="11">
                  <c:v>129.72</c:v>
                </c:pt>
                <c:pt idx="12">
                  <c:v>174</c:v>
                </c:pt>
                <c:pt idx="13">
                  <c:v>148.47838728435701</c:v>
                </c:pt>
                <c:pt idx="14">
                  <c:v>174</c:v>
                </c:pt>
                <c:pt idx="15">
                  <c:v>147.42857142857099</c:v>
                </c:pt>
                <c:pt idx="16">
                  <c:v>147.95698924731201</c:v>
                </c:pt>
                <c:pt idx="17">
                  <c:v>85</c:v>
                </c:pt>
                <c:pt idx="18">
                  <c:v>140.44943820224699</c:v>
                </c:pt>
                <c:pt idx="19">
                  <c:v>140.44943820224699</c:v>
                </c:pt>
                <c:pt idx="20">
                  <c:v>140.44943820224699</c:v>
                </c:pt>
                <c:pt idx="21">
                  <c:v>140.44943820224699</c:v>
                </c:pt>
                <c:pt idx="22">
                  <c:v>147.86885245901601</c:v>
                </c:pt>
                <c:pt idx="23">
                  <c:v>126.081370449679</c:v>
                </c:pt>
                <c:pt idx="24">
                  <c:v>217.777777777778</c:v>
                </c:pt>
                <c:pt idx="25">
                  <c:v>180.18018018018</c:v>
                </c:pt>
                <c:pt idx="26">
                  <c:v>180.18018018018</c:v>
                </c:pt>
                <c:pt idx="27">
                  <c:v>257.84765217391299</c:v>
                </c:pt>
                <c:pt idx="28">
                  <c:v>133.333333333333</c:v>
                </c:pt>
                <c:pt idx="29">
                  <c:v>140.186915887851</c:v>
                </c:pt>
                <c:pt idx="30">
                  <c:v>180.18018018018</c:v>
                </c:pt>
                <c:pt idx="31">
                  <c:v>133.333333333333</c:v>
                </c:pt>
                <c:pt idx="32">
                  <c:v>140.186915887851</c:v>
                </c:pt>
                <c:pt idx="33">
                  <c:v>140.186915887851</c:v>
                </c:pt>
                <c:pt idx="34">
                  <c:v>180.18018018018</c:v>
                </c:pt>
                <c:pt idx="35">
                  <c:v>180.18018018018</c:v>
                </c:pt>
                <c:pt idx="36">
                  <c:v>260.86956521739103</c:v>
                </c:pt>
                <c:pt idx="37">
                  <c:v>140.186915887851</c:v>
                </c:pt>
                <c:pt idx="38">
                  <c:v>180.18018018018</c:v>
                </c:pt>
                <c:pt idx="39">
                  <c:v>130.23102310230999</c:v>
                </c:pt>
                <c:pt idx="40" formatCode="0.0">
                  <c:v>145.1</c:v>
                </c:pt>
                <c:pt idx="41" formatCode="0.0">
                  <c:v>156.4</c:v>
                </c:pt>
                <c:pt idx="42" formatCode="0.0">
                  <c:v>156.4</c:v>
                </c:pt>
                <c:pt idx="43" formatCode="0.0">
                  <c:v>156.4</c:v>
                </c:pt>
                <c:pt idx="45">
                  <c:v>177.30452261306499</c:v>
                </c:pt>
                <c:pt idx="46">
                  <c:v>110.77423728813601</c:v>
                </c:pt>
                <c:pt idx="47">
                  <c:v>166.98574338085501</c:v>
                </c:pt>
                <c:pt idx="48">
                  <c:v>166.98574338085501</c:v>
                </c:pt>
                <c:pt idx="49">
                  <c:v>164.89361702127701</c:v>
                </c:pt>
                <c:pt idx="50">
                  <c:v>167.00610997963301</c:v>
                </c:pt>
                <c:pt idx="51" formatCode="0.0">
                  <c:v>161.69999999999999</c:v>
                </c:pt>
                <c:pt idx="52" formatCode="0.0">
                  <c:v>164.6</c:v>
                </c:pt>
                <c:pt idx="53" formatCode="0.0">
                  <c:v>161.69999999999999</c:v>
                </c:pt>
                <c:pt idx="54">
                  <c:v>167.00610997963301</c:v>
                </c:pt>
                <c:pt idx="55">
                  <c:v>167.00610997963301</c:v>
                </c:pt>
                <c:pt idx="56">
                  <c:v>167.00610997963301</c:v>
                </c:pt>
                <c:pt idx="57">
                  <c:v>192.572214580468</c:v>
                </c:pt>
              </c:numCache>
            </c:numRef>
          </c:xVal>
          <c:yVal>
            <c:numRef>
              <c:f>Packs!$BP$4:$BP$1528</c:f>
              <c:numCache>
                <c:formatCode>0</c:formatCode>
                <c:ptCount val="1525"/>
                <c:pt idx="31">
                  <c:v>211.64021164021199</c:v>
                </c:pt>
                <c:pt idx="32">
                  <c:v>207.68431983385301</c:v>
                </c:pt>
                <c:pt idx="33">
                  <c:v>207.68431983385301</c:v>
                </c:pt>
                <c:pt idx="34">
                  <c:v>200.20020020019999</c:v>
                </c:pt>
                <c:pt idx="35">
                  <c:v>200.20020020019999</c:v>
                </c:pt>
                <c:pt idx="36">
                  <c:v>193.23671497584499</c:v>
                </c:pt>
                <c:pt idx="49">
                  <c:v>206.855791962175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6-400D-B53B-0D7D9E5C1F14}"/>
            </c:ext>
          </c:extLst>
        </c:ser>
        <c:ser>
          <c:idx val="1"/>
          <c:order val="1"/>
          <c:spPr>
            <a:ln w="25560">
              <a:noFill/>
            </a:ln>
          </c:spPr>
          <c:marker>
            <c:symbol val="circle"/>
            <c:size val="9"/>
            <c:spPr>
              <a:solidFill>
                <a:srgbClr val="38562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Packs!$BM$4:$BM$1720</c:f>
              <c:numCache>
                <c:formatCode>0</c:formatCode>
                <c:ptCount val="1717"/>
                <c:pt idx="1">
                  <c:v>157.142857142857</c:v>
                </c:pt>
                <c:pt idx="2">
                  <c:v>167.689161554192</c:v>
                </c:pt>
                <c:pt idx="3">
                  <c:v>167.689161554192</c:v>
                </c:pt>
                <c:pt idx="4">
                  <c:v>167.689161554192</c:v>
                </c:pt>
                <c:pt idx="5">
                  <c:v>157.142857142857</c:v>
                </c:pt>
                <c:pt idx="6">
                  <c:v>167.689161554192</c:v>
                </c:pt>
                <c:pt idx="7">
                  <c:v>167.689161554192</c:v>
                </c:pt>
                <c:pt idx="8">
                  <c:v>167.689161554192</c:v>
                </c:pt>
                <c:pt idx="9">
                  <c:v>151.79856115107901</c:v>
                </c:pt>
                <c:pt idx="10">
                  <c:v>90.689361702127698</c:v>
                </c:pt>
                <c:pt idx="11">
                  <c:v>129.72</c:v>
                </c:pt>
                <c:pt idx="12">
                  <c:v>174</c:v>
                </c:pt>
                <c:pt idx="13">
                  <c:v>148.47838728435701</c:v>
                </c:pt>
                <c:pt idx="14">
                  <c:v>174</c:v>
                </c:pt>
                <c:pt idx="15">
                  <c:v>147.42857142857099</c:v>
                </c:pt>
                <c:pt idx="16">
                  <c:v>147.95698924731201</c:v>
                </c:pt>
                <c:pt idx="17">
                  <c:v>85</c:v>
                </c:pt>
                <c:pt idx="18">
                  <c:v>140.44943820224699</c:v>
                </c:pt>
                <c:pt idx="19">
                  <c:v>140.44943820224699</c:v>
                </c:pt>
                <c:pt idx="20">
                  <c:v>140.44943820224699</c:v>
                </c:pt>
                <c:pt idx="21">
                  <c:v>140.44943820224699</c:v>
                </c:pt>
                <c:pt idx="22">
                  <c:v>147.86885245901601</c:v>
                </c:pt>
                <c:pt idx="23">
                  <c:v>126.081370449679</c:v>
                </c:pt>
                <c:pt idx="24">
                  <c:v>217.777777777778</c:v>
                </c:pt>
                <c:pt idx="25">
                  <c:v>180.18018018018</c:v>
                </c:pt>
                <c:pt idx="26">
                  <c:v>180.18018018018</c:v>
                </c:pt>
                <c:pt idx="27">
                  <c:v>257.84765217391299</c:v>
                </c:pt>
                <c:pt idx="28">
                  <c:v>133.333333333333</c:v>
                </c:pt>
                <c:pt idx="29">
                  <c:v>140.186915887851</c:v>
                </c:pt>
                <c:pt idx="30">
                  <c:v>180.18018018018</c:v>
                </c:pt>
                <c:pt idx="31">
                  <c:v>133.333333333333</c:v>
                </c:pt>
                <c:pt idx="32">
                  <c:v>140.186915887851</c:v>
                </c:pt>
                <c:pt idx="33">
                  <c:v>140.186915887851</c:v>
                </c:pt>
                <c:pt idx="34">
                  <c:v>180.18018018018</c:v>
                </c:pt>
                <c:pt idx="35">
                  <c:v>180.18018018018</c:v>
                </c:pt>
                <c:pt idx="36">
                  <c:v>260.86956521739103</c:v>
                </c:pt>
                <c:pt idx="37">
                  <c:v>140.186915887851</c:v>
                </c:pt>
                <c:pt idx="38">
                  <c:v>180.18018018018</c:v>
                </c:pt>
                <c:pt idx="39">
                  <c:v>130.23102310230999</c:v>
                </c:pt>
                <c:pt idx="40" formatCode="0.0">
                  <c:v>145.1</c:v>
                </c:pt>
                <c:pt idx="41" formatCode="0.0">
                  <c:v>156.4</c:v>
                </c:pt>
                <c:pt idx="42" formatCode="0.0">
                  <c:v>156.4</c:v>
                </c:pt>
                <c:pt idx="43" formatCode="0.0">
                  <c:v>156.4</c:v>
                </c:pt>
                <c:pt idx="45">
                  <c:v>177.30452261306499</c:v>
                </c:pt>
                <c:pt idx="46">
                  <c:v>110.77423728813601</c:v>
                </c:pt>
                <c:pt idx="47">
                  <c:v>166.98574338085501</c:v>
                </c:pt>
                <c:pt idx="48">
                  <c:v>166.98574338085501</c:v>
                </c:pt>
                <c:pt idx="49">
                  <c:v>164.89361702127701</c:v>
                </c:pt>
                <c:pt idx="50">
                  <c:v>167.00610997963301</c:v>
                </c:pt>
                <c:pt idx="51" formatCode="0.0">
                  <c:v>161.69999999999999</c:v>
                </c:pt>
                <c:pt idx="52" formatCode="0.0">
                  <c:v>164.6</c:v>
                </c:pt>
                <c:pt idx="53" formatCode="0.0">
                  <c:v>161.69999999999999</c:v>
                </c:pt>
                <c:pt idx="54">
                  <c:v>167.00610997963301</c:v>
                </c:pt>
                <c:pt idx="55">
                  <c:v>167.00610997963301</c:v>
                </c:pt>
                <c:pt idx="56">
                  <c:v>167.00610997963301</c:v>
                </c:pt>
                <c:pt idx="57">
                  <c:v>192.572214580468</c:v>
                </c:pt>
              </c:numCache>
            </c:numRef>
          </c:xVal>
          <c:yVal>
            <c:numRef>
              <c:f>Packs!$BQ$4:$BQ$1720</c:f>
              <c:numCache>
                <c:formatCode>0</c:formatCode>
                <c:ptCount val="1717"/>
                <c:pt idx="1">
                  <c:v>337.142857142857</c:v>
                </c:pt>
                <c:pt idx="2">
                  <c:v>276.07361963190198</c:v>
                </c:pt>
                <c:pt idx="4">
                  <c:v>276.07361963190198</c:v>
                </c:pt>
                <c:pt idx="5">
                  <c:v>337.142857142857</c:v>
                </c:pt>
                <c:pt idx="9">
                  <c:v>179.85611510791401</c:v>
                </c:pt>
                <c:pt idx="10">
                  <c:v>200</c:v>
                </c:pt>
                <c:pt idx="11">
                  <c:v>191.40625</c:v>
                </c:pt>
                <c:pt idx="12">
                  <c:v>300.46224961479197</c:v>
                </c:pt>
                <c:pt idx="13">
                  <c:v>290.75402209730601</c:v>
                </c:pt>
                <c:pt idx="14">
                  <c:v>300.46224961479197</c:v>
                </c:pt>
                <c:pt idx="15">
                  <c:v>267.857142857143</c:v>
                </c:pt>
                <c:pt idx="16">
                  <c:v>268.81720430107498</c:v>
                </c:pt>
                <c:pt idx="17">
                  <c:v>467.28971962616799</c:v>
                </c:pt>
                <c:pt idx="24">
                  <c:v>303.030303030303</c:v>
                </c:pt>
                <c:pt idx="32">
                  <c:v>261.682242990654</c:v>
                </c:pt>
                <c:pt idx="33">
                  <c:v>242.990654205608</c:v>
                </c:pt>
                <c:pt idx="38">
                  <c:v>234.23423423423401</c:v>
                </c:pt>
                <c:pt idx="39">
                  <c:v>151.815181518152</c:v>
                </c:pt>
                <c:pt idx="40">
                  <c:v>288.44020412691401</c:v>
                </c:pt>
                <c:pt idx="41">
                  <c:v>224.91349480968901</c:v>
                </c:pt>
                <c:pt idx="42">
                  <c:v>224.91349480968901</c:v>
                </c:pt>
                <c:pt idx="43">
                  <c:v>224.91349480968901</c:v>
                </c:pt>
                <c:pt idx="45">
                  <c:v>263.81909547738701</c:v>
                </c:pt>
                <c:pt idx="47">
                  <c:v>376.78207739307499</c:v>
                </c:pt>
                <c:pt idx="48">
                  <c:v>346.23217922606898</c:v>
                </c:pt>
                <c:pt idx="49">
                  <c:v>265.95744680851101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6-400D-B53B-0D7D9E5C1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04037"/>
        <c:axId val="47707454"/>
      </c:scatterChart>
      <c:valAx>
        <c:axId val="26104037"/>
        <c:scaling>
          <c:orientation val="minMax"/>
          <c:max val="25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Gravimetric Energy Density [Wh/kg]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7707454"/>
        <c:crosses val="autoZero"/>
        <c:crossBetween val="midCat"/>
      </c:valAx>
      <c:valAx>
        <c:axId val="47707454"/>
        <c:scaling>
          <c:logBase val="10"/>
          <c:orientation val="minMax"/>
          <c:min val="1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Gravimetric Power Density [Wcontinuous/kg]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610403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1211294961341602E-2"/>
          <c:y val="3.5001270002539997E-2"/>
          <c:w val="0.87860904642737103"/>
          <c:h val="0.85354330708661397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Packs!$AV$2:$AV$3</c:f>
              <c:strCache>
                <c:ptCount val="2"/>
                <c:pt idx="0">
                  <c:v>Cell Mass</c:v>
                </c:pt>
                <c:pt idx="1">
                  <c:v>kg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10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47520" cap="rnd">
                <a:solidFill>
                  <a:srgbClr val="4472C4"/>
                </a:solidFill>
                <a:prstDash val="dashDot"/>
                <a:round/>
              </a:ln>
            </c:spPr>
            <c:trendlineType val="linear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Packs!$AV$4:$AV$1723</c:f>
              <c:numCache>
                <c:formatCode>General</c:formatCode>
                <c:ptCount val="1720"/>
                <c:pt idx="1">
                  <c:v>206.01599999999999</c:v>
                </c:pt>
                <c:pt idx="2">
                  <c:v>309.024</c:v>
                </c:pt>
                <c:pt idx="3">
                  <c:v>309.024</c:v>
                </c:pt>
                <c:pt idx="4">
                  <c:v>309.024</c:v>
                </c:pt>
                <c:pt idx="5">
                  <c:v>207.93600000000001</c:v>
                </c:pt>
                <c:pt idx="6">
                  <c:v>309.024</c:v>
                </c:pt>
                <c:pt idx="7">
                  <c:v>309.024</c:v>
                </c:pt>
                <c:pt idx="8">
                  <c:v>309.024</c:v>
                </c:pt>
                <c:pt idx="9" formatCode="0">
                  <c:v>211</c:v>
                </c:pt>
                <c:pt idx="10" formatCode="0">
                  <c:v>197</c:v>
                </c:pt>
                <c:pt idx="11" formatCode="0">
                  <c:v>193</c:v>
                </c:pt>
                <c:pt idx="15" formatCode="0">
                  <c:v>446.27027027026998</c:v>
                </c:pt>
                <c:pt idx="16" formatCode="0">
                  <c:v>446.27027027026998</c:v>
                </c:pt>
                <c:pt idx="17">
                  <c:v>301.60000000000002</c:v>
                </c:pt>
                <c:pt idx="22">
                  <c:v>354</c:v>
                </c:pt>
                <c:pt idx="24" formatCode="0.0">
                  <c:v>326.66666666666703</c:v>
                </c:pt>
                <c:pt idx="27" formatCode="0">
                  <c:v>415.87200000000001</c:v>
                </c:pt>
                <c:pt idx="36" formatCode="0">
                  <c:v>388.37333333333299</c:v>
                </c:pt>
                <c:pt idx="39">
                  <c:v>175.488</c:v>
                </c:pt>
                <c:pt idx="45">
                  <c:v>540.43200000000002</c:v>
                </c:pt>
                <c:pt idx="46">
                  <c:v>205.34399999999999</c:v>
                </c:pt>
                <c:pt idx="47">
                  <c:v>309</c:v>
                </c:pt>
                <c:pt idx="48">
                  <c:v>309</c:v>
                </c:pt>
                <c:pt idx="49" formatCode="0">
                  <c:v>237.816</c:v>
                </c:pt>
                <c:pt idx="50">
                  <c:v>309.024</c:v>
                </c:pt>
                <c:pt idx="51">
                  <c:v>309.024</c:v>
                </c:pt>
                <c:pt idx="52" formatCode="0">
                  <c:v>237.816</c:v>
                </c:pt>
                <c:pt idx="53">
                  <c:v>309</c:v>
                </c:pt>
                <c:pt idx="54">
                  <c:v>309</c:v>
                </c:pt>
                <c:pt idx="55">
                  <c:v>309</c:v>
                </c:pt>
                <c:pt idx="56">
                  <c:v>309</c:v>
                </c:pt>
                <c:pt idx="57" formatCode="0">
                  <c:v>491.11919999999998</c:v>
                </c:pt>
              </c:numCache>
            </c:numRef>
          </c:xVal>
          <c:yVal>
            <c:numRef>
              <c:f>Packs!$AU$4:$AU$1723</c:f>
              <c:numCache>
                <c:formatCode>General</c:formatCode>
                <c:ptCount val="1720"/>
                <c:pt idx="1">
                  <c:v>350</c:v>
                </c:pt>
                <c:pt idx="2">
                  <c:v>489</c:v>
                </c:pt>
                <c:pt idx="3">
                  <c:v>489</c:v>
                </c:pt>
                <c:pt idx="4">
                  <c:v>489</c:v>
                </c:pt>
                <c:pt idx="5">
                  <c:v>350</c:v>
                </c:pt>
                <c:pt idx="6">
                  <c:v>489</c:v>
                </c:pt>
                <c:pt idx="7">
                  <c:v>489</c:v>
                </c:pt>
                <c:pt idx="8">
                  <c:v>489</c:v>
                </c:pt>
                <c:pt idx="9">
                  <c:v>278</c:v>
                </c:pt>
                <c:pt idx="10">
                  <c:v>235</c:v>
                </c:pt>
                <c:pt idx="11">
                  <c:v>256</c:v>
                </c:pt>
                <c:pt idx="12" formatCode="0">
                  <c:v>649</c:v>
                </c:pt>
                <c:pt idx="13">
                  <c:v>515.9</c:v>
                </c:pt>
                <c:pt idx="14" formatCode="0">
                  <c:v>649</c:v>
                </c:pt>
                <c:pt idx="15">
                  <c:v>560</c:v>
                </c:pt>
                <c:pt idx="16">
                  <c:v>558</c:v>
                </c:pt>
                <c:pt idx="17">
                  <c:v>428</c:v>
                </c:pt>
                <c:pt idx="18">
                  <c:v>534</c:v>
                </c:pt>
                <c:pt idx="19">
                  <c:v>534</c:v>
                </c:pt>
                <c:pt idx="20">
                  <c:v>534</c:v>
                </c:pt>
                <c:pt idx="21">
                  <c:v>534</c:v>
                </c:pt>
                <c:pt idx="22">
                  <c:v>610</c:v>
                </c:pt>
                <c:pt idx="23">
                  <c:v>46.7</c:v>
                </c:pt>
                <c:pt idx="24">
                  <c:v>495</c:v>
                </c:pt>
                <c:pt idx="25">
                  <c:v>555</c:v>
                </c:pt>
                <c:pt idx="26">
                  <c:v>555</c:v>
                </c:pt>
                <c:pt idx="27">
                  <c:v>575</c:v>
                </c:pt>
                <c:pt idx="28">
                  <c:v>525</c:v>
                </c:pt>
                <c:pt idx="29">
                  <c:v>535</c:v>
                </c:pt>
                <c:pt idx="30">
                  <c:v>555</c:v>
                </c:pt>
                <c:pt idx="31" formatCode="0">
                  <c:v>525</c:v>
                </c:pt>
                <c:pt idx="32">
                  <c:v>535</c:v>
                </c:pt>
                <c:pt idx="33" formatCode="0">
                  <c:v>535</c:v>
                </c:pt>
                <c:pt idx="34" formatCode="0">
                  <c:v>555</c:v>
                </c:pt>
                <c:pt idx="35" formatCode="0">
                  <c:v>555</c:v>
                </c:pt>
                <c:pt idx="36" formatCode="0">
                  <c:v>575</c:v>
                </c:pt>
                <c:pt idx="37">
                  <c:v>535</c:v>
                </c:pt>
                <c:pt idx="38">
                  <c:v>555</c:v>
                </c:pt>
                <c:pt idx="39">
                  <c:v>303</c:v>
                </c:pt>
                <c:pt idx="40">
                  <c:v>450.7</c:v>
                </c:pt>
                <c:pt idx="41">
                  <c:v>578</c:v>
                </c:pt>
                <c:pt idx="42">
                  <c:v>578</c:v>
                </c:pt>
                <c:pt idx="43">
                  <c:v>578</c:v>
                </c:pt>
                <c:pt idx="45" formatCode="0">
                  <c:v>796</c:v>
                </c:pt>
                <c:pt idx="46">
                  <c:v>383.5</c:v>
                </c:pt>
                <c:pt idx="47">
                  <c:v>491</c:v>
                </c:pt>
                <c:pt idx="48">
                  <c:v>491</c:v>
                </c:pt>
                <c:pt idx="49">
                  <c:v>376</c:v>
                </c:pt>
                <c:pt idx="50">
                  <c:v>491</c:v>
                </c:pt>
                <c:pt idx="51">
                  <c:v>491</c:v>
                </c:pt>
                <c:pt idx="52">
                  <c:v>376</c:v>
                </c:pt>
                <c:pt idx="53">
                  <c:v>491</c:v>
                </c:pt>
                <c:pt idx="54">
                  <c:v>491</c:v>
                </c:pt>
                <c:pt idx="55">
                  <c:v>491</c:v>
                </c:pt>
                <c:pt idx="56">
                  <c:v>491</c:v>
                </c:pt>
                <c:pt idx="57">
                  <c:v>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28-4793-B05C-CEC3B479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0315"/>
        <c:axId val="4961673"/>
      </c:scatterChart>
      <c:valAx>
        <c:axId val="16630315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Cell Mass [kg]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961673"/>
        <c:crosses val="autoZero"/>
        <c:crossBetween val="midCat"/>
      </c:valAx>
      <c:valAx>
        <c:axId val="4961673"/>
        <c:scaling>
          <c:logBase val="10"/>
          <c:orientation val="minMax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Pack Mass [kg]</a:t>
                </a:r>
              </a:p>
            </c:rich>
          </c:tx>
          <c:layout>
            <c:manualLayout>
              <c:xMode val="edge"/>
              <c:yMode val="edge"/>
              <c:x val="1.4641616553991E-2"/>
              <c:y val="0.391109982219964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663031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9944185413334201E-2"/>
          <c:y val="3.3409653754497497E-2"/>
          <c:w val="0.892488854099309"/>
          <c:h val="0.87173496565580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Packs!$BM$1:$BM$1</c:f>
              <c:strCache>
                <c:ptCount val="1"/>
                <c:pt idx="0">
                  <c:v>1145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Pt>
            <c:idx val="179"/>
            <c:bubble3D val="0"/>
            <c:extLst>
              <c:ext xmlns:c16="http://schemas.microsoft.com/office/drawing/2014/chart" uri="{C3380CC4-5D6E-409C-BE32-E72D297353CC}">
                <c16:uniqueId val="{00000000-715E-4ED0-991C-CDB45BD5110F}"/>
              </c:ext>
            </c:extLst>
          </c:dPt>
          <c:dLbls>
            <c:dLbl>
              <c:idx val="17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0-715E-4ED0-991C-CDB45BD511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560" cap="rnd">
                <a:solidFill>
                  <a:srgbClr val="4472C4"/>
                </a:solidFill>
                <a:prstDash val="dash"/>
                <a:round/>
              </a:ln>
            </c:spPr>
            <c:trendlineType val="log"/>
            <c:dispRSqr val="0"/>
            <c:dispEq val="0"/>
          </c:trendline>
          <c:xVal>
            <c:numRef>
              <c:f>Packs!$I$4:$I$2555</c:f>
              <c:numCache>
                <c:formatCode>0.00</c:formatCode>
                <c:ptCount val="2552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Packs!$BM$4:$BM$2555</c:f>
              <c:numCache>
                <c:formatCode>0</c:formatCode>
                <c:ptCount val="2552"/>
                <c:pt idx="1">
                  <c:v>157.142857142857</c:v>
                </c:pt>
                <c:pt idx="2">
                  <c:v>167.689161554192</c:v>
                </c:pt>
                <c:pt idx="3">
                  <c:v>167.689161554192</c:v>
                </c:pt>
                <c:pt idx="4">
                  <c:v>167.689161554192</c:v>
                </c:pt>
                <c:pt idx="5">
                  <c:v>157.142857142857</c:v>
                </c:pt>
                <c:pt idx="6">
                  <c:v>167.689161554192</c:v>
                </c:pt>
                <c:pt idx="7">
                  <c:v>167.689161554192</c:v>
                </c:pt>
                <c:pt idx="8">
                  <c:v>167.689161554192</c:v>
                </c:pt>
                <c:pt idx="9">
                  <c:v>151.79856115107901</c:v>
                </c:pt>
                <c:pt idx="10">
                  <c:v>90.689361702127698</c:v>
                </c:pt>
                <c:pt idx="11">
                  <c:v>129.72</c:v>
                </c:pt>
                <c:pt idx="12">
                  <c:v>174</c:v>
                </c:pt>
                <c:pt idx="13">
                  <c:v>148.47838728435701</c:v>
                </c:pt>
                <c:pt idx="14">
                  <c:v>174</c:v>
                </c:pt>
                <c:pt idx="15">
                  <c:v>147.42857142857099</c:v>
                </c:pt>
                <c:pt idx="16">
                  <c:v>147.95698924731201</c:v>
                </c:pt>
                <c:pt idx="17">
                  <c:v>85</c:v>
                </c:pt>
                <c:pt idx="18">
                  <c:v>140.44943820224699</c:v>
                </c:pt>
                <c:pt idx="19">
                  <c:v>140.44943820224699</c:v>
                </c:pt>
                <c:pt idx="20">
                  <c:v>140.44943820224699</c:v>
                </c:pt>
                <c:pt idx="21">
                  <c:v>140.44943820224699</c:v>
                </c:pt>
                <c:pt idx="22">
                  <c:v>147.86885245901601</c:v>
                </c:pt>
                <c:pt idx="23">
                  <c:v>126.081370449679</c:v>
                </c:pt>
                <c:pt idx="24">
                  <c:v>217.777777777778</c:v>
                </c:pt>
                <c:pt idx="25">
                  <c:v>180.18018018018</c:v>
                </c:pt>
                <c:pt idx="26">
                  <c:v>180.18018018018</c:v>
                </c:pt>
                <c:pt idx="27">
                  <c:v>257.84765217391299</c:v>
                </c:pt>
                <c:pt idx="28">
                  <c:v>133.333333333333</c:v>
                </c:pt>
                <c:pt idx="29">
                  <c:v>140.186915887851</c:v>
                </c:pt>
                <c:pt idx="30">
                  <c:v>180.18018018018</c:v>
                </c:pt>
                <c:pt idx="31">
                  <c:v>133.333333333333</c:v>
                </c:pt>
                <c:pt idx="32">
                  <c:v>140.186915887851</c:v>
                </c:pt>
                <c:pt idx="33">
                  <c:v>140.186915887851</c:v>
                </c:pt>
                <c:pt idx="34">
                  <c:v>180.18018018018</c:v>
                </c:pt>
                <c:pt idx="35">
                  <c:v>180.18018018018</c:v>
                </c:pt>
                <c:pt idx="36">
                  <c:v>260.86956521739103</c:v>
                </c:pt>
                <c:pt idx="37">
                  <c:v>140.186915887851</c:v>
                </c:pt>
                <c:pt idx="38">
                  <c:v>180.18018018018</c:v>
                </c:pt>
                <c:pt idx="39">
                  <c:v>130.23102310230999</c:v>
                </c:pt>
                <c:pt idx="40" formatCode="0.0">
                  <c:v>145.1</c:v>
                </c:pt>
                <c:pt idx="41" formatCode="0.0">
                  <c:v>156.4</c:v>
                </c:pt>
                <c:pt idx="42" formatCode="0.0">
                  <c:v>156.4</c:v>
                </c:pt>
                <c:pt idx="43" formatCode="0.0">
                  <c:v>156.4</c:v>
                </c:pt>
                <c:pt idx="45">
                  <c:v>177.30452261306499</c:v>
                </c:pt>
                <c:pt idx="46">
                  <c:v>110.77423728813601</c:v>
                </c:pt>
                <c:pt idx="47">
                  <c:v>166.98574338085501</c:v>
                </c:pt>
                <c:pt idx="48">
                  <c:v>166.98574338085501</c:v>
                </c:pt>
                <c:pt idx="49">
                  <c:v>164.89361702127701</c:v>
                </c:pt>
                <c:pt idx="50">
                  <c:v>167.00610997963301</c:v>
                </c:pt>
                <c:pt idx="51" formatCode="0.0">
                  <c:v>161.69999999999999</c:v>
                </c:pt>
                <c:pt idx="52" formatCode="0.0">
                  <c:v>164.6</c:v>
                </c:pt>
                <c:pt idx="53" formatCode="0.0">
                  <c:v>161.69999999999999</c:v>
                </c:pt>
                <c:pt idx="54">
                  <c:v>167.00610997963301</c:v>
                </c:pt>
                <c:pt idx="55">
                  <c:v>167.00610997963301</c:v>
                </c:pt>
                <c:pt idx="56">
                  <c:v>167.00610997963301</c:v>
                </c:pt>
                <c:pt idx="57">
                  <c:v>192.572214580468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E-4ED0-991C-CDB45BD51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9985"/>
        <c:axId val="94792230"/>
      </c:scatterChart>
      <c:valAx>
        <c:axId val="22929985"/>
        <c:scaling>
          <c:logBase val="10"/>
          <c:orientation val="minMax"/>
          <c:min val="0.1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Battery Pack Total Energy [kWh]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4792230"/>
        <c:crosses val="autoZero"/>
        <c:crossBetween val="midCat"/>
        <c:majorUnit val="1"/>
      </c:valAx>
      <c:valAx>
        <c:axId val="94792230"/>
        <c:scaling>
          <c:orientation val="minMax"/>
          <c:max val="280"/>
          <c:min val="0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Gravimetric Energy Density [Wh/kg]</a:t>
                </a:r>
              </a:p>
            </c:rich>
          </c:tx>
          <c:layout>
            <c:manualLayout>
              <c:xMode val="edge"/>
              <c:yMode val="edge"/>
              <c:x val="9.73351938195555E-3"/>
              <c:y val="0.24849306107191299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2929985"/>
        <c:crosses val="autoZero"/>
        <c:crossBetween val="midCat"/>
        <c:majorUnit val="40"/>
        <c:minorUnit val="1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1481347665071"/>
          <c:y val="5.8913962554219497E-2"/>
          <c:w val="0.84892963598590898"/>
          <c:h val="0.79069895129852297"/>
        </c:manualLayout>
      </c:layout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9"/>
            <c:spPr>
              <a:solidFill>
                <a:srgbClr val="4472C4"/>
              </a:solidFill>
            </c:spPr>
          </c:marker>
          <c:dPt>
            <c:idx val="730"/>
            <c:bubble3D val="0"/>
            <c:extLst>
              <c:ext xmlns:c16="http://schemas.microsoft.com/office/drawing/2014/chart" uri="{C3380CC4-5D6E-409C-BE32-E72D297353CC}">
                <c16:uniqueId val="{00000000-9C3C-4D8B-8527-A067A91C6A17}"/>
              </c:ext>
            </c:extLst>
          </c:dPt>
          <c:dLbls>
            <c:dLbl>
              <c:idx val="73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0-9C3C-4D8B-8527-A067A91C6A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44280" cap="rnd">
                <a:solidFill>
                  <a:srgbClr val="4472C4"/>
                </a:solidFill>
                <a:prstDash val="dash"/>
                <a:round/>
              </a:ln>
            </c:spPr>
            <c:trendlineType val="linear"/>
            <c:forward val="40"/>
            <c:backward val="40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Packs!$CK$4:$CK$2555</c:f>
            </c:numRef>
          </c:xVal>
          <c:yVal>
            <c:numRef>
              <c:f>Packs!$BM$4:$BM$2555</c:f>
              <c:numCache>
                <c:formatCode>0</c:formatCode>
                <c:ptCount val="2552"/>
                <c:pt idx="1">
                  <c:v>157.142857142857</c:v>
                </c:pt>
                <c:pt idx="2">
                  <c:v>167.689161554192</c:v>
                </c:pt>
                <c:pt idx="3">
                  <c:v>167.689161554192</c:v>
                </c:pt>
                <c:pt idx="4">
                  <c:v>167.689161554192</c:v>
                </c:pt>
                <c:pt idx="5">
                  <c:v>157.142857142857</c:v>
                </c:pt>
                <c:pt idx="6">
                  <c:v>167.689161554192</c:v>
                </c:pt>
                <c:pt idx="7">
                  <c:v>167.689161554192</c:v>
                </c:pt>
                <c:pt idx="8">
                  <c:v>167.689161554192</c:v>
                </c:pt>
                <c:pt idx="9">
                  <c:v>151.79856115107901</c:v>
                </c:pt>
                <c:pt idx="10">
                  <c:v>90.689361702127698</c:v>
                </c:pt>
                <c:pt idx="11">
                  <c:v>129.72</c:v>
                </c:pt>
                <c:pt idx="12">
                  <c:v>174</c:v>
                </c:pt>
                <c:pt idx="13">
                  <c:v>148.47838728435701</c:v>
                </c:pt>
                <c:pt idx="14">
                  <c:v>174</c:v>
                </c:pt>
                <c:pt idx="15">
                  <c:v>147.42857142857099</c:v>
                </c:pt>
                <c:pt idx="16">
                  <c:v>147.95698924731201</c:v>
                </c:pt>
                <c:pt idx="17">
                  <c:v>85</c:v>
                </c:pt>
                <c:pt idx="18">
                  <c:v>140.44943820224699</c:v>
                </c:pt>
                <c:pt idx="19">
                  <c:v>140.44943820224699</c:v>
                </c:pt>
                <c:pt idx="20">
                  <c:v>140.44943820224699</c:v>
                </c:pt>
                <c:pt idx="21">
                  <c:v>140.44943820224699</c:v>
                </c:pt>
                <c:pt idx="22">
                  <c:v>147.86885245901601</c:v>
                </c:pt>
                <c:pt idx="23">
                  <c:v>126.081370449679</c:v>
                </c:pt>
                <c:pt idx="24">
                  <c:v>217.777777777778</c:v>
                </c:pt>
                <c:pt idx="25">
                  <c:v>180.18018018018</c:v>
                </c:pt>
                <c:pt idx="26">
                  <c:v>180.18018018018</c:v>
                </c:pt>
                <c:pt idx="27">
                  <c:v>257.84765217391299</c:v>
                </c:pt>
                <c:pt idx="28">
                  <c:v>133.333333333333</c:v>
                </c:pt>
                <c:pt idx="29">
                  <c:v>140.186915887851</c:v>
                </c:pt>
                <c:pt idx="30">
                  <c:v>180.18018018018</c:v>
                </c:pt>
                <c:pt idx="31">
                  <c:v>133.333333333333</c:v>
                </c:pt>
                <c:pt idx="32">
                  <c:v>140.186915887851</c:v>
                </c:pt>
                <c:pt idx="33">
                  <c:v>140.186915887851</c:v>
                </c:pt>
                <c:pt idx="34">
                  <c:v>180.18018018018</c:v>
                </c:pt>
                <c:pt idx="35">
                  <c:v>180.18018018018</c:v>
                </c:pt>
                <c:pt idx="36">
                  <c:v>260.86956521739103</c:v>
                </c:pt>
                <c:pt idx="37">
                  <c:v>140.186915887851</c:v>
                </c:pt>
                <c:pt idx="38">
                  <c:v>180.18018018018</c:v>
                </c:pt>
                <c:pt idx="39">
                  <c:v>130.23102310230999</c:v>
                </c:pt>
                <c:pt idx="40" formatCode="0.0">
                  <c:v>145.1</c:v>
                </c:pt>
                <c:pt idx="41" formatCode="0.0">
                  <c:v>156.4</c:v>
                </c:pt>
                <c:pt idx="42" formatCode="0.0">
                  <c:v>156.4</c:v>
                </c:pt>
                <c:pt idx="43" formatCode="0.0">
                  <c:v>156.4</c:v>
                </c:pt>
                <c:pt idx="45">
                  <c:v>177.30452261306499</c:v>
                </c:pt>
                <c:pt idx="46">
                  <c:v>110.77423728813601</c:v>
                </c:pt>
                <c:pt idx="47">
                  <c:v>166.98574338085501</c:v>
                </c:pt>
                <c:pt idx="48">
                  <c:v>166.98574338085501</c:v>
                </c:pt>
                <c:pt idx="49">
                  <c:v>164.89361702127701</c:v>
                </c:pt>
                <c:pt idx="50">
                  <c:v>167.00610997963301</c:v>
                </c:pt>
                <c:pt idx="51" formatCode="0.0">
                  <c:v>161.69999999999999</c:v>
                </c:pt>
                <c:pt idx="52" formatCode="0.0">
                  <c:v>164.6</c:v>
                </c:pt>
                <c:pt idx="53" formatCode="0.0">
                  <c:v>161.69999999999999</c:v>
                </c:pt>
                <c:pt idx="54">
                  <c:v>167.00610997963301</c:v>
                </c:pt>
                <c:pt idx="55">
                  <c:v>167.00610997963301</c:v>
                </c:pt>
                <c:pt idx="56">
                  <c:v>167.00610997963301</c:v>
                </c:pt>
                <c:pt idx="57">
                  <c:v>192.572214580468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C-4D8B-8527-A067A91C6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107"/>
        <c:axId val="47483174"/>
      </c:scatterChart>
      <c:valAx>
        <c:axId val="131810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Cell Gravimmetric Density [Wh/kg]</a:t>
                </a:r>
              </a:p>
            </c:rich>
          </c:tx>
          <c:layout>
            <c:manualLayout>
              <c:xMode val="edge"/>
              <c:yMode val="edge"/>
              <c:x val="0.33953572396350801"/>
              <c:y val="0.914950859276341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7483174"/>
        <c:crosses val="autoZero"/>
        <c:crossBetween val="midCat"/>
      </c:valAx>
      <c:valAx>
        <c:axId val="474831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Pack Gravimteric Density [Wh/kg]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31810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84046692607"/>
          <c:y val="5.6738797069347403E-2"/>
          <c:w val="0.84349329874621704"/>
          <c:h val="0.86136195831203499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Packs!$J$1:$J$1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Packs!$G$4:$G$2555</c:f>
            </c:numRef>
          </c:xVal>
          <c:yVal>
            <c:numRef>
              <c:f>Packs!$J$4:$J$2555</c:f>
            </c:numRef>
          </c:yVal>
          <c:smooth val="0"/>
          <c:extLst>
            <c:ext xmlns:c16="http://schemas.microsoft.com/office/drawing/2014/chart" uri="{C3380CC4-5D6E-409C-BE32-E72D297353CC}">
              <c16:uniqueId val="{00000000-47E6-4DC6-AD7C-8D427DE86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76651"/>
        <c:axId val="9810336"/>
      </c:scatterChart>
      <c:valAx>
        <c:axId val="56976651"/>
        <c:scaling>
          <c:orientation val="minMax"/>
          <c:max val="2030"/>
          <c:min val="2005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810336"/>
        <c:crosses val="autoZero"/>
        <c:crossBetween val="midCat"/>
      </c:valAx>
      <c:valAx>
        <c:axId val="9810336"/>
        <c:scaling>
          <c:orientation val="minMax"/>
          <c:max val="1"/>
          <c:min val="0.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Usable Energy / Total Energy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69766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Packs!$J$1:$J$2</c:f>
              <c:strCache>
                <c:ptCount val="2"/>
                <c:pt idx="1">
                  <c:v>SoC Window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Packs!$I$4:$I$2555</c:f>
              <c:numCache>
                <c:formatCode>0.00</c:formatCode>
                <c:ptCount val="2552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Packs!$J$4:$J$2555</c:f>
            </c:numRef>
          </c:yVal>
          <c:smooth val="0"/>
          <c:extLst>
            <c:ext xmlns:c16="http://schemas.microsoft.com/office/drawing/2014/chart" uri="{C3380CC4-5D6E-409C-BE32-E72D297353CC}">
              <c16:uniqueId val="{00000000-688C-4670-A9A8-2A6F56B9D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04967"/>
        <c:axId val="97895508"/>
      </c:scatterChart>
      <c:valAx>
        <c:axId val="70204967"/>
        <c:scaling>
          <c:orientation val="minMax"/>
          <c:max val="25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Gross Battery Pack Energy [kWh]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7895508"/>
        <c:crosses val="autoZero"/>
        <c:crossBetween val="midCat"/>
      </c:valAx>
      <c:valAx>
        <c:axId val="97895508"/>
        <c:scaling>
          <c:orientation val="minMax"/>
          <c:max val="1"/>
          <c:min val="0.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Net / Gross Energy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020496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Packs!$BB$1:$BB$2</c:f>
              <c:strCache>
                <c:ptCount val="2"/>
                <c:pt idx="0">
                  <c:v>770</c:v>
                </c:pt>
                <c:pt idx="1">
                  <c:v>Pack Volume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548235"/>
                </a:solidFill>
                <a:prstDash val="dashDot"/>
                <a:round/>
              </a:ln>
            </c:spPr>
            <c:trendlineType val="linear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Packs!$I$4:$I$2555</c:f>
              <c:numCache>
                <c:formatCode>0.00</c:formatCode>
                <c:ptCount val="2552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Packs!$BB$4:$BB$2555</c:f>
              <c:numCache>
                <c:formatCode>0</c:formatCode>
                <c:ptCount val="2552"/>
                <c:pt idx="0">
                  <c:v>422.24</c:v>
                </c:pt>
                <c:pt idx="1">
                  <c:v>334.08</c:v>
                </c:pt>
                <c:pt idx="2">
                  <c:v>422.24</c:v>
                </c:pt>
                <c:pt idx="3">
                  <c:v>422.24</c:v>
                </c:pt>
                <c:pt idx="4">
                  <c:v>422.24</c:v>
                </c:pt>
                <c:pt idx="5">
                  <c:v>334.08</c:v>
                </c:pt>
                <c:pt idx="6">
                  <c:v>422.24</c:v>
                </c:pt>
                <c:pt idx="7">
                  <c:v>422.24</c:v>
                </c:pt>
                <c:pt idx="8">
                  <c:v>422.24</c:v>
                </c:pt>
                <c:pt idx="9">
                  <c:v>278.44175999999999</c:v>
                </c:pt>
                <c:pt idx="10">
                  <c:v>278.44175999999999</c:v>
                </c:pt>
                <c:pt idx="11">
                  <c:v>278.44175999999999</c:v>
                </c:pt>
                <c:pt idx="12">
                  <c:v>591.94902000000002</c:v>
                </c:pt>
                <c:pt idx="13">
                  <c:v>591.94902000000002</c:v>
                </c:pt>
                <c:pt idx="14">
                  <c:v>591.94902000000002</c:v>
                </c:pt>
                <c:pt idx="15">
                  <c:v>286.32119999999998</c:v>
                </c:pt>
                <c:pt idx="16">
                  <c:v>286.32119999999998</c:v>
                </c:pt>
                <c:pt idx="17">
                  <c:v>743.16882527999996</c:v>
                </c:pt>
                <c:pt idx="18">
                  <c:v>427.51799999999997</c:v>
                </c:pt>
                <c:pt idx="19">
                  <c:v>427.51799999999997</c:v>
                </c:pt>
                <c:pt idx="20">
                  <c:v>427.51799999999997</c:v>
                </c:pt>
                <c:pt idx="21">
                  <c:v>427.51799999999997</c:v>
                </c:pt>
                <c:pt idx="22" formatCode="0.0">
                  <c:v>1008.216</c:v>
                </c:pt>
                <c:pt idx="23">
                  <c:v>43.499569999999999</c:v>
                </c:pt>
                <c:pt idx="24">
                  <c:v>272.09500000000003</c:v>
                </c:pt>
                <c:pt idx="25">
                  <c:v>588.98638080000001</c:v>
                </c:pt>
                <c:pt idx="26">
                  <c:v>588.98638080000001</c:v>
                </c:pt>
                <c:pt idx="27">
                  <c:v>588.98638080000001</c:v>
                </c:pt>
                <c:pt idx="28">
                  <c:v>588.98638080000001</c:v>
                </c:pt>
                <c:pt idx="29">
                  <c:v>588.98638080000001</c:v>
                </c:pt>
                <c:pt idx="30">
                  <c:v>588.98638080000001</c:v>
                </c:pt>
                <c:pt idx="31">
                  <c:v>431.58484800000002</c:v>
                </c:pt>
                <c:pt idx="32">
                  <c:v>588.98638080000001</c:v>
                </c:pt>
                <c:pt idx="33">
                  <c:v>588.98638080000001</c:v>
                </c:pt>
                <c:pt idx="34">
                  <c:v>588.98638080000001</c:v>
                </c:pt>
                <c:pt idx="35">
                  <c:v>588.98638080000001</c:v>
                </c:pt>
                <c:pt idx="36">
                  <c:v>588.98638080000001</c:v>
                </c:pt>
                <c:pt idx="37">
                  <c:v>588.98638080000001</c:v>
                </c:pt>
                <c:pt idx="38">
                  <c:v>588.98638080000001</c:v>
                </c:pt>
                <c:pt idx="39">
                  <c:v>485.18870399999997</c:v>
                </c:pt>
                <c:pt idx="40">
                  <c:v>1175.61697344</c:v>
                </c:pt>
                <c:pt idx="41">
                  <c:v>1175.61697344</c:v>
                </c:pt>
                <c:pt idx="42">
                  <c:v>1175.61697344</c:v>
                </c:pt>
                <c:pt idx="43">
                  <c:v>1175.61697344</c:v>
                </c:pt>
                <c:pt idx="44">
                  <c:v>272.38028460297602</c:v>
                </c:pt>
                <c:pt idx="45" formatCode="General">
                  <c:v>562</c:v>
                </c:pt>
                <c:pt idx="46">
                  <c:v>736.48008000000004</c:v>
                </c:pt>
                <c:pt idx="47">
                  <c:v>369.46</c:v>
                </c:pt>
                <c:pt idx="48">
                  <c:v>369.46</c:v>
                </c:pt>
                <c:pt idx="49">
                  <c:v>220.34331900000001</c:v>
                </c:pt>
                <c:pt idx="50">
                  <c:v>369.46</c:v>
                </c:pt>
                <c:pt idx="51">
                  <c:v>369</c:v>
                </c:pt>
                <c:pt idx="52">
                  <c:v>220</c:v>
                </c:pt>
                <c:pt idx="53">
                  <c:v>369</c:v>
                </c:pt>
                <c:pt idx="54">
                  <c:v>369.46</c:v>
                </c:pt>
                <c:pt idx="55">
                  <c:v>369.46</c:v>
                </c:pt>
                <c:pt idx="56">
                  <c:v>369.46</c:v>
                </c:pt>
                <c:pt idx="57">
                  <c:v>446.82400000000001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4-46AB-9EAF-D7BCDDE82B6A}"/>
            </c:ext>
          </c:extLst>
        </c:ser>
        <c:ser>
          <c:idx val="1"/>
          <c:order val="1"/>
          <c:tx>
            <c:strRef>
              <c:f>Packs!$CZ$223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none"/>
          </c:marker>
          <c:trendline>
            <c:spPr>
              <a:ln w="19080" cap="rnd">
                <a:solidFill>
                  <a:srgbClr val="385623"/>
                </a:solidFill>
                <a:prstDash val="lgDashDotDot"/>
                <a:round/>
              </a:ln>
            </c:spPr>
            <c:trendlineType val="log"/>
            <c:forward val="200"/>
            <c:backward val="5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Packs!$CY$225:$CY$231</c:f>
            </c:numRef>
          </c:xVal>
          <c:yVal>
            <c:numRef>
              <c:f>Packs!$CZ$225:$CZ$231</c:f>
            </c:numRef>
          </c:yVal>
          <c:smooth val="0"/>
          <c:extLst>
            <c:ext xmlns:c16="http://schemas.microsoft.com/office/drawing/2014/chart" uri="{C3380CC4-5D6E-409C-BE32-E72D297353CC}">
              <c16:uniqueId val="{00000001-AD34-46AB-9EAF-D7BCDDE82B6A}"/>
            </c:ext>
          </c:extLst>
        </c:ser>
        <c:ser>
          <c:idx val="2"/>
          <c:order val="2"/>
          <c:spPr>
            <a:ln w="25560">
              <a:noFill/>
            </a:ln>
          </c:spPr>
          <c:marker>
            <c:symbol val="none"/>
          </c:marker>
          <c:trendline>
            <c:spPr>
              <a:ln w="19080" cap="rnd">
                <a:solidFill>
                  <a:srgbClr val="385623"/>
                </a:solidFill>
                <a:prstDash val="lgDashDotDot"/>
                <a:round/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Packs!$CU$224:$CU$227</c:f>
            </c:numRef>
          </c:xVal>
          <c:yVal>
            <c:numRef>
              <c:f>Packs!$CV$224:$CV$227</c:f>
            </c:numRef>
          </c:yVal>
          <c:smooth val="0"/>
          <c:extLst>
            <c:ext xmlns:c16="http://schemas.microsoft.com/office/drawing/2014/chart" uri="{C3380CC4-5D6E-409C-BE32-E72D297353CC}">
              <c16:uniqueId val="{00000002-AD34-46AB-9EAF-D7BCDDE82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14155"/>
        <c:axId val="74723695"/>
      </c:scatterChart>
      <c:valAx>
        <c:axId val="69714155"/>
        <c:scaling>
          <c:orientation val="minMax"/>
          <c:max val="30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Battery Pack Total Energy [kWh]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4723695"/>
        <c:crosses val="autoZero"/>
        <c:crossBetween val="midCat"/>
      </c:valAx>
      <c:valAx>
        <c:axId val="74723695"/>
        <c:scaling>
          <c:orientation val="minMax"/>
          <c:max val="200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Battery Pack Volume [litres]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97141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Packs!$BB$1:$BB$2</c:f>
              <c:strCache>
                <c:ptCount val="2"/>
                <c:pt idx="0">
                  <c:v>770</c:v>
                </c:pt>
                <c:pt idx="1">
                  <c:v>Pack Volume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11"/>
            <c:spPr>
              <a:solidFill>
                <a:srgbClr val="843C0B"/>
              </a:solidFill>
            </c:spPr>
          </c:marker>
          <c:dPt>
            <c:idx val="71"/>
            <c:marker>
              <c:spPr>
                <a:solidFill>
                  <a:srgbClr val="4472C4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6C7-4E06-B7EF-D8358C18AD0D}"/>
              </c:ext>
            </c:extLst>
          </c:dPt>
          <c:dLbls>
            <c:dLbl>
              <c:idx val="7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0-46C7-4E06-B7EF-D8358C18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Packs!$BB$4:$BB$2555</c:f>
              <c:numCache>
                <c:formatCode>0</c:formatCode>
                <c:ptCount val="2552"/>
                <c:pt idx="0">
                  <c:v>422.24</c:v>
                </c:pt>
                <c:pt idx="1">
                  <c:v>334.08</c:v>
                </c:pt>
                <c:pt idx="2">
                  <c:v>422.24</c:v>
                </c:pt>
                <c:pt idx="3">
                  <c:v>422.24</c:v>
                </c:pt>
                <c:pt idx="4">
                  <c:v>422.24</c:v>
                </c:pt>
                <c:pt idx="5">
                  <c:v>334.08</c:v>
                </c:pt>
                <c:pt idx="6">
                  <c:v>422.24</c:v>
                </c:pt>
                <c:pt idx="7">
                  <c:v>422.24</c:v>
                </c:pt>
                <c:pt idx="8">
                  <c:v>422.24</c:v>
                </c:pt>
                <c:pt idx="9">
                  <c:v>278.44175999999999</c:v>
                </c:pt>
                <c:pt idx="10">
                  <c:v>278.44175999999999</c:v>
                </c:pt>
                <c:pt idx="11">
                  <c:v>278.44175999999999</c:v>
                </c:pt>
                <c:pt idx="12">
                  <c:v>591.94902000000002</c:v>
                </c:pt>
                <c:pt idx="13">
                  <c:v>591.94902000000002</c:v>
                </c:pt>
                <c:pt idx="14">
                  <c:v>591.94902000000002</c:v>
                </c:pt>
                <c:pt idx="15">
                  <c:v>286.32119999999998</c:v>
                </c:pt>
                <c:pt idx="16">
                  <c:v>286.32119999999998</c:v>
                </c:pt>
                <c:pt idx="17">
                  <c:v>743.16882527999996</c:v>
                </c:pt>
                <c:pt idx="18">
                  <c:v>427.51799999999997</c:v>
                </c:pt>
                <c:pt idx="19">
                  <c:v>427.51799999999997</c:v>
                </c:pt>
                <c:pt idx="20">
                  <c:v>427.51799999999997</c:v>
                </c:pt>
                <c:pt idx="21">
                  <c:v>427.51799999999997</c:v>
                </c:pt>
                <c:pt idx="22" formatCode="0.0">
                  <c:v>1008.216</c:v>
                </c:pt>
                <c:pt idx="23">
                  <c:v>43.499569999999999</c:v>
                </c:pt>
                <c:pt idx="24">
                  <c:v>272.09500000000003</c:v>
                </c:pt>
                <c:pt idx="25">
                  <c:v>588.98638080000001</c:v>
                </c:pt>
                <c:pt idx="26">
                  <c:v>588.98638080000001</c:v>
                </c:pt>
                <c:pt idx="27">
                  <c:v>588.98638080000001</c:v>
                </c:pt>
                <c:pt idx="28">
                  <c:v>588.98638080000001</c:v>
                </c:pt>
                <c:pt idx="29">
                  <c:v>588.98638080000001</c:v>
                </c:pt>
                <c:pt idx="30">
                  <c:v>588.98638080000001</c:v>
                </c:pt>
                <c:pt idx="31">
                  <c:v>431.58484800000002</c:v>
                </c:pt>
                <c:pt idx="32">
                  <c:v>588.98638080000001</c:v>
                </c:pt>
                <c:pt idx="33">
                  <c:v>588.98638080000001</c:v>
                </c:pt>
                <c:pt idx="34">
                  <c:v>588.98638080000001</c:v>
                </c:pt>
                <c:pt idx="35">
                  <c:v>588.98638080000001</c:v>
                </c:pt>
                <c:pt idx="36">
                  <c:v>588.98638080000001</c:v>
                </c:pt>
                <c:pt idx="37">
                  <c:v>588.98638080000001</c:v>
                </c:pt>
                <c:pt idx="38">
                  <c:v>588.98638080000001</c:v>
                </c:pt>
                <c:pt idx="39">
                  <c:v>485.18870399999997</c:v>
                </c:pt>
                <c:pt idx="40">
                  <c:v>1175.61697344</c:v>
                </c:pt>
                <c:pt idx="41">
                  <c:v>1175.61697344</c:v>
                </c:pt>
                <c:pt idx="42">
                  <c:v>1175.61697344</c:v>
                </c:pt>
                <c:pt idx="43">
                  <c:v>1175.61697344</c:v>
                </c:pt>
                <c:pt idx="44">
                  <c:v>272.38028460297602</c:v>
                </c:pt>
                <c:pt idx="45" formatCode="General">
                  <c:v>562</c:v>
                </c:pt>
                <c:pt idx="46">
                  <c:v>736.48008000000004</c:v>
                </c:pt>
                <c:pt idx="47">
                  <c:v>369.46</c:v>
                </c:pt>
                <c:pt idx="48">
                  <c:v>369.46</c:v>
                </c:pt>
                <c:pt idx="49">
                  <c:v>220.34331900000001</c:v>
                </c:pt>
                <c:pt idx="50">
                  <c:v>369.46</c:v>
                </c:pt>
                <c:pt idx="51">
                  <c:v>369</c:v>
                </c:pt>
                <c:pt idx="52">
                  <c:v>220</c:v>
                </c:pt>
                <c:pt idx="53">
                  <c:v>369</c:v>
                </c:pt>
                <c:pt idx="54">
                  <c:v>369.46</c:v>
                </c:pt>
                <c:pt idx="55">
                  <c:v>369.46</c:v>
                </c:pt>
                <c:pt idx="56">
                  <c:v>369.46</c:v>
                </c:pt>
                <c:pt idx="57">
                  <c:v>446.82400000000001</c:v>
                </c:pt>
              </c:numCache>
            </c:numRef>
          </c:xVal>
          <c:yVal>
            <c:numRef>
              <c:f>Packs!$AU$4:$AU$2555</c:f>
              <c:numCache>
                <c:formatCode>General</c:formatCode>
                <c:ptCount val="2552"/>
                <c:pt idx="1">
                  <c:v>350</c:v>
                </c:pt>
                <c:pt idx="2">
                  <c:v>489</c:v>
                </c:pt>
                <c:pt idx="3">
                  <c:v>489</c:v>
                </c:pt>
                <c:pt idx="4">
                  <c:v>489</c:v>
                </c:pt>
                <c:pt idx="5">
                  <c:v>350</c:v>
                </c:pt>
                <c:pt idx="6">
                  <c:v>489</c:v>
                </c:pt>
                <c:pt idx="7">
                  <c:v>489</c:v>
                </c:pt>
                <c:pt idx="8">
                  <c:v>489</c:v>
                </c:pt>
                <c:pt idx="9">
                  <c:v>278</c:v>
                </c:pt>
                <c:pt idx="10">
                  <c:v>235</c:v>
                </c:pt>
                <c:pt idx="11">
                  <c:v>256</c:v>
                </c:pt>
                <c:pt idx="12" formatCode="0">
                  <c:v>649</c:v>
                </c:pt>
                <c:pt idx="13">
                  <c:v>515.9</c:v>
                </c:pt>
                <c:pt idx="14" formatCode="0">
                  <c:v>649</c:v>
                </c:pt>
                <c:pt idx="15">
                  <c:v>560</c:v>
                </c:pt>
                <c:pt idx="16">
                  <c:v>558</c:v>
                </c:pt>
                <c:pt idx="17">
                  <c:v>428</c:v>
                </c:pt>
                <c:pt idx="18">
                  <c:v>534</c:v>
                </c:pt>
                <c:pt idx="19">
                  <c:v>534</c:v>
                </c:pt>
                <c:pt idx="20">
                  <c:v>534</c:v>
                </c:pt>
                <c:pt idx="21">
                  <c:v>534</c:v>
                </c:pt>
                <c:pt idx="22">
                  <c:v>610</c:v>
                </c:pt>
                <c:pt idx="23">
                  <c:v>46.7</c:v>
                </c:pt>
                <c:pt idx="24">
                  <c:v>495</c:v>
                </c:pt>
                <c:pt idx="25">
                  <c:v>555</c:v>
                </c:pt>
                <c:pt idx="26">
                  <c:v>555</c:v>
                </c:pt>
                <c:pt idx="27">
                  <c:v>575</c:v>
                </c:pt>
                <c:pt idx="28">
                  <c:v>525</c:v>
                </c:pt>
                <c:pt idx="29">
                  <c:v>535</c:v>
                </c:pt>
                <c:pt idx="30">
                  <c:v>555</c:v>
                </c:pt>
                <c:pt idx="31" formatCode="0">
                  <c:v>525</c:v>
                </c:pt>
                <c:pt idx="32">
                  <c:v>535</c:v>
                </c:pt>
                <c:pt idx="33" formatCode="0">
                  <c:v>535</c:v>
                </c:pt>
                <c:pt idx="34" formatCode="0">
                  <c:v>555</c:v>
                </c:pt>
                <c:pt idx="35" formatCode="0">
                  <c:v>555</c:v>
                </c:pt>
                <c:pt idx="36" formatCode="0">
                  <c:v>575</c:v>
                </c:pt>
                <c:pt idx="37">
                  <c:v>535</c:v>
                </c:pt>
                <c:pt idx="38">
                  <c:v>555</c:v>
                </c:pt>
                <c:pt idx="39">
                  <c:v>303</c:v>
                </c:pt>
                <c:pt idx="40">
                  <c:v>450.7</c:v>
                </c:pt>
                <c:pt idx="41">
                  <c:v>578</c:v>
                </c:pt>
                <c:pt idx="42">
                  <c:v>578</c:v>
                </c:pt>
                <c:pt idx="43">
                  <c:v>578</c:v>
                </c:pt>
                <c:pt idx="45" formatCode="0">
                  <c:v>796</c:v>
                </c:pt>
                <c:pt idx="46">
                  <c:v>383.5</c:v>
                </c:pt>
                <c:pt idx="47">
                  <c:v>491</c:v>
                </c:pt>
                <c:pt idx="48">
                  <c:v>491</c:v>
                </c:pt>
                <c:pt idx="49">
                  <c:v>376</c:v>
                </c:pt>
                <c:pt idx="50">
                  <c:v>491</c:v>
                </c:pt>
                <c:pt idx="51">
                  <c:v>491</c:v>
                </c:pt>
                <c:pt idx="52">
                  <c:v>376</c:v>
                </c:pt>
                <c:pt idx="53">
                  <c:v>491</c:v>
                </c:pt>
                <c:pt idx="54">
                  <c:v>491</c:v>
                </c:pt>
                <c:pt idx="55">
                  <c:v>491</c:v>
                </c:pt>
                <c:pt idx="56">
                  <c:v>491</c:v>
                </c:pt>
                <c:pt idx="57">
                  <c:v>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C7-4E06-B7EF-D8358C18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8256"/>
        <c:axId val="11236715"/>
      </c:scatterChart>
      <c:valAx>
        <c:axId val="16718256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Battery Pack Volume [litres]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1236715"/>
        <c:crosses val="autoZero"/>
        <c:crossBetween val="midCat"/>
      </c:valAx>
      <c:valAx>
        <c:axId val="11236715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Battery Pack Mass [kg]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671825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4816319961373"/>
          <c:y val="4.5499966691093199E-2"/>
          <c:w val="0.85734116605641197"/>
          <c:h val="0.80680834055026296"/>
        </c:manualLayout>
      </c:layout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9"/>
            <c:spPr>
              <a:solidFill>
                <a:srgbClr val="38562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385623"/>
                </a:solidFill>
                <a:prstDash val="dash"/>
                <a:round/>
              </a:ln>
            </c:spPr>
            <c:trendlineType val="linear"/>
            <c:forward val="40"/>
            <c:backward val="4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Packs!$BM$4:$BM$2555</c:f>
              <c:numCache>
                <c:formatCode>0</c:formatCode>
                <c:ptCount val="2552"/>
                <c:pt idx="1">
                  <c:v>157.142857142857</c:v>
                </c:pt>
                <c:pt idx="2">
                  <c:v>167.689161554192</c:v>
                </c:pt>
                <c:pt idx="3">
                  <c:v>167.689161554192</c:v>
                </c:pt>
                <c:pt idx="4">
                  <c:v>167.689161554192</c:v>
                </c:pt>
                <c:pt idx="5">
                  <c:v>157.142857142857</c:v>
                </c:pt>
                <c:pt idx="6">
                  <c:v>167.689161554192</c:v>
                </c:pt>
                <c:pt idx="7">
                  <c:v>167.689161554192</c:v>
                </c:pt>
                <c:pt idx="8">
                  <c:v>167.689161554192</c:v>
                </c:pt>
                <c:pt idx="9">
                  <c:v>151.79856115107901</c:v>
                </c:pt>
                <c:pt idx="10">
                  <c:v>90.689361702127698</c:v>
                </c:pt>
                <c:pt idx="11">
                  <c:v>129.72</c:v>
                </c:pt>
                <c:pt idx="12">
                  <c:v>174</c:v>
                </c:pt>
                <c:pt idx="13">
                  <c:v>148.47838728435701</c:v>
                </c:pt>
                <c:pt idx="14">
                  <c:v>174</c:v>
                </c:pt>
                <c:pt idx="15">
                  <c:v>147.42857142857099</c:v>
                </c:pt>
                <c:pt idx="16">
                  <c:v>147.95698924731201</c:v>
                </c:pt>
                <c:pt idx="17">
                  <c:v>85</c:v>
                </c:pt>
                <c:pt idx="18">
                  <c:v>140.44943820224699</c:v>
                </c:pt>
                <c:pt idx="19">
                  <c:v>140.44943820224699</c:v>
                </c:pt>
                <c:pt idx="20">
                  <c:v>140.44943820224699</c:v>
                </c:pt>
                <c:pt idx="21">
                  <c:v>140.44943820224699</c:v>
                </c:pt>
                <c:pt idx="22">
                  <c:v>147.86885245901601</c:v>
                </c:pt>
                <c:pt idx="23">
                  <c:v>126.081370449679</c:v>
                </c:pt>
                <c:pt idx="24">
                  <c:v>217.777777777778</c:v>
                </c:pt>
                <c:pt idx="25">
                  <c:v>180.18018018018</c:v>
                </c:pt>
                <c:pt idx="26">
                  <c:v>180.18018018018</c:v>
                </c:pt>
                <c:pt idx="27">
                  <c:v>257.84765217391299</c:v>
                </c:pt>
                <c:pt idx="28">
                  <c:v>133.333333333333</c:v>
                </c:pt>
                <c:pt idx="29">
                  <c:v>140.186915887851</c:v>
                </c:pt>
                <c:pt idx="30">
                  <c:v>180.18018018018</c:v>
                </c:pt>
                <c:pt idx="31">
                  <c:v>133.333333333333</c:v>
                </c:pt>
                <c:pt idx="32">
                  <c:v>140.186915887851</c:v>
                </c:pt>
                <c:pt idx="33">
                  <c:v>140.186915887851</c:v>
                </c:pt>
                <c:pt idx="34">
                  <c:v>180.18018018018</c:v>
                </c:pt>
                <c:pt idx="35">
                  <c:v>180.18018018018</c:v>
                </c:pt>
                <c:pt idx="36">
                  <c:v>260.86956521739103</c:v>
                </c:pt>
                <c:pt idx="37">
                  <c:v>140.186915887851</c:v>
                </c:pt>
                <c:pt idx="38">
                  <c:v>180.18018018018</c:v>
                </c:pt>
                <c:pt idx="39">
                  <c:v>130.23102310230999</c:v>
                </c:pt>
                <c:pt idx="40" formatCode="0.0">
                  <c:v>145.1</c:v>
                </c:pt>
                <c:pt idx="41" formatCode="0.0">
                  <c:v>156.4</c:v>
                </c:pt>
                <c:pt idx="42" formatCode="0.0">
                  <c:v>156.4</c:v>
                </c:pt>
                <c:pt idx="43" formatCode="0.0">
                  <c:v>156.4</c:v>
                </c:pt>
                <c:pt idx="45">
                  <c:v>177.30452261306499</c:v>
                </c:pt>
                <c:pt idx="46">
                  <c:v>110.77423728813601</c:v>
                </c:pt>
                <c:pt idx="47">
                  <c:v>166.98574338085501</c:v>
                </c:pt>
                <c:pt idx="48">
                  <c:v>166.98574338085501</c:v>
                </c:pt>
                <c:pt idx="49">
                  <c:v>164.89361702127701</c:v>
                </c:pt>
                <c:pt idx="50">
                  <c:v>167.00610997963301</c:v>
                </c:pt>
                <c:pt idx="51" formatCode="0.0">
                  <c:v>161.69999999999999</c:v>
                </c:pt>
                <c:pt idx="52" formatCode="0.0">
                  <c:v>164.6</c:v>
                </c:pt>
                <c:pt idx="53" formatCode="0.0">
                  <c:v>161.69999999999999</c:v>
                </c:pt>
                <c:pt idx="54">
                  <c:v>167.00610997963301</c:v>
                </c:pt>
                <c:pt idx="55">
                  <c:v>167.00610997963301</c:v>
                </c:pt>
                <c:pt idx="56">
                  <c:v>167.00610997963301</c:v>
                </c:pt>
                <c:pt idx="57">
                  <c:v>192.572214580468</c:v>
                </c:pt>
              </c:numCache>
            </c:numRef>
          </c:xVal>
          <c:yVal>
            <c:numRef>
              <c:f>Packs!$BN$4:$BN$2555</c:f>
              <c:numCache>
                <c:formatCode>0</c:formatCode>
                <c:ptCount val="2552"/>
                <c:pt idx="0">
                  <c:v>194.202349374763</c:v>
                </c:pt>
                <c:pt idx="1">
                  <c:v>164.63122605364001</c:v>
                </c:pt>
                <c:pt idx="2">
                  <c:v>194.202349374763</c:v>
                </c:pt>
                <c:pt idx="3">
                  <c:v>194.202349374763</c:v>
                </c:pt>
                <c:pt idx="4">
                  <c:v>194.202349374763</c:v>
                </c:pt>
                <c:pt idx="5">
                  <c:v>164.63122605364001</c:v>
                </c:pt>
                <c:pt idx="6">
                  <c:v>194.202349374763</c:v>
                </c:pt>
                <c:pt idx="7">
                  <c:v>194.202349374763</c:v>
                </c:pt>
                <c:pt idx="8">
                  <c:v>194.202349374763</c:v>
                </c:pt>
                <c:pt idx="9">
                  <c:v>151.55772611119801</c:v>
                </c:pt>
                <c:pt idx="10">
                  <c:v>76.540243101465805</c:v>
                </c:pt>
                <c:pt idx="11">
                  <c:v>119.264868890356</c:v>
                </c:pt>
                <c:pt idx="12">
                  <c:v>188.36081526074699</c:v>
                </c:pt>
                <c:pt idx="13">
                  <c:v>129.40303541680001</c:v>
                </c:pt>
                <c:pt idx="14">
                  <c:v>188.36081526074699</c:v>
                </c:pt>
                <c:pt idx="15">
                  <c:v>288.34749225694799</c:v>
                </c:pt>
                <c:pt idx="16">
                  <c:v>288.34749225694799</c:v>
                </c:pt>
                <c:pt idx="17">
                  <c:v>82.157106061326004</c:v>
                </c:pt>
                <c:pt idx="18">
                  <c:v>175.43120991396901</c:v>
                </c:pt>
                <c:pt idx="19">
                  <c:v>175.43120991396901</c:v>
                </c:pt>
                <c:pt idx="20">
                  <c:v>175.43120991396901</c:v>
                </c:pt>
                <c:pt idx="21">
                  <c:v>175.43120991396901</c:v>
                </c:pt>
                <c:pt idx="22">
                  <c:v>89.464955922143702</c:v>
                </c:pt>
                <c:pt idx="23">
                  <c:v>135.35765985732701</c:v>
                </c:pt>
                <c:pt idx="24">
                  <c:v>396.18515591980702</c:v>
                </c:pt>
                <c:pt idx="25">
                  <c:v>169.783212753024</c:v>
                </c:pt>
                <c:pt idx="26">
                  <c:v>169.783212753024</c:v>
                </c:pt>
                <c:pt idx="27">
                  <c:v>251.72466602473901</c:v>
                </c:pt>
                <c:pt idx="28">
                  <c:v>118.848248927117</c:v>
                </c:pt>
                <c:pt idx="29">
                  <c:v>127.337409564768</c:v>
                </c:pt>
                <c:pt idx="30">
                  <c:v>169.783212753024</c:v>
                </c:pt>
                <c:pt idx="31">
                  <c:v>162.19290441818299</c:v>
                </c:pt>
                <c:pt idx="32">
                  <c:v>127.337409564768</c:v>
                </c:pt>
                <c:pt idx="33">
                  <c:v>127.337409564768</c:v>
                </c:pt>
                <c:pt idx="34">
                  <c:v>169.783212753024</c:v>
                </c:pt>
                <c:pt idx="35">
                  <c:v>169.783212753024</c:v>
                </c:pt>
                <c:pt idx="36">
                  <c:v>254.67481912953599</c:v>
                </c:pt>
                <c:pt idx="37">
                  <c:v>127.337409564768</c:v>
                </c:pt>
                <c:pt idx="38">
                  <c:v>169.783212753024</c:v>
                </c:pt>
                <c:pt idx="39">
                  <c:v>81.329181150927994</c:v>
                </c:pt>
                <c:pt idx="40">
                  <c:v>56.140734177115398</c:v>
                </c:pt>
                <c:pt idx="41">
                  <c:v>77.406163789659104</c:v>
                </c:pt>
                <c:pt idx="42">
                  <c:v>77.406163789659104</c:v>
                </c:pt>
                <c:pt idx="43">
                  <c:v>77.406163789659104</c:v>
                </c:pt>
                <c:pt idx="44">
                  <c:v>248.25585338734601</c:v>
                </c:pt>
                <c:pt idx="45">
                  <c:v>251.12882562277599</c:v>
                </c:pt>
                <c:pt idx="46">
                  <c:v>57.682374790096198</c:v>
                </c:pt>
                <c:pt idx="47">
                  <c:v>221.91847561305701</c:v>
                </c:pt>
                <c:pt idx="48">
                  <c:v>221.91847561305701</c:v>
                </c:pt>
                <c:pt idx="49">
                  <c:v>281.379078255602</c:v>
                </c:pt>
                <c:pt idx="50">
                  <c:v>221.94554214258699</c:v>
                </c:pt>
                <c:pt idx="54">
                  <c:v>221.94554214258699</c:v>
                </c:pt>
                <c:pt idx="55">
                  <c:v>221.94554214258699</c:v>
                </c:pt>
                <c:pt idx="56">
                  <c:v>221.94554214258699</c:v>
                </c:pt>
                <c:pt idx="57">
                  <c:v>313.32247148765498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8-497E-A429-3886E2F2D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36785"/>
        <c:axId val="59862396"/>
      </c:scatterChart>
      <c:valAx>
        <c:axId val="99736785"/>
        <c:scaling>
          <c:orientation val="minMax"/>
          <c:max val="30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Pack Gravimetric Density [Wh/kg]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9862396"/>
        <c:crosses val="autoZero"/>
        <c:crossBetween val="midCat"/>
      </c:valAx>
      <c:valAx>
        <c:axId val="5986239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Pack Volumetric Density [Wh/litre]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973678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6143746717683304E-2"/>
          <c:y val="4.6705389449628598E-2"/>
          <c:w val="0.85426513616925503"/>
          <c:h val="0.84583888783088901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Packs!$L$1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circle"/>
            <c:size val="9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linear"/>
            <c:intercept val="0"/>
            <c:dispRSqr val="0"/>
            <c:dispEq val="0"/>
          </c:trendline>
          <c:xVal>
            <c:numRef>
              <c:f>Packs!$K$4:$K$1703</c:f>
            </c:numRef>
          </c:xVal>
          <c:yVal>
            <c:numRef>
              <c:f>Packs!$L$4:$L$1703</c:f>
            </c:numRef>
          </c:yVal>
          <c:smooth val="0"/>
          <c:extLst>
            <c:ext xmlns:c16="http://schemas.microsoft.com/office/drawing/2014/chart" uri="{C3380CC4-5D6E-409C-BE32-E72D297353CC}">
              <c16:uniqueId val="{00000000-E576-4B63-892D-629B0EA14333}"/>
            </c:ext>
          </c:extLst>
        </c:ser>
        <c:ser>
          <c:idx val="1"/>
          <c:order val="1"/>
          <c:spPr>
            <a:ln w="25560">
              <a:noFill/>
            </a:ln>
          </c:spPr>
          <c:marker>
            <c:symbol val="circle"/>
            <c:size val="9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ED7D31"/>
                </a:solidFill>
                <a:prstDash val="sysDot"/>
                <a:round/>
              </a:ln>
            </c:spPr>
            <c:trendlineType val="linear"/>
            <c:intercept val="0"/>
            <c:dispRSqr val="0"/>
            <c:dispEq val="0"/>
          </c:trendline>
          <c:xVal>
            <c:numRef>
              <c:f>Packs!$K$4:$K$1703</c:f>
            </c:numRef>
          </c:xVal>
          <c:yVal>
            <c:numRef>
              <c:f>Packs!$M$4:$M$1703</c:f>
            </c:numRef>
          </c:yVal>
          <c:smooth val="0"/>
          <c:extLst>
            <c:ext xmlns:c16="http://schemas.microsoft.com/office/drawing/2014/chart" uri="{C3380CC4-5D6E-409C-BE32-E72D297353CC}">
              <c16:uniqueId val="{00000001-E576-4B63-892D-629B0EA14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01467"/>
        <c:axId val="82240250"/>
      </c:scatterChart>
      <c:valAx>
        <c:axId val="26701467"/>
        <c:scaling>
          <c:orientation val="minMax"/>
          <c:max val="1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Nominal Voltage [V]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2240250"/>
        <c:crosses val="autoZero"/>
        <c:crossBetween val="midCat"/>
        <c:majorUnit val="200"/>
      </c:valAx>
      <c:valAx>
        <c:axId val="82240250"/>
        <c:scaling>
          <c:orientation val="minMax"/>
          <c:max val="160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Maximum and Minimum Voltage [V]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6701467"/>
        <c:crosses val="autoZero"/>
        <c:crossBetween val="midCat"/>
        <c:majorUnit val="2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8761295009799"/>
          <c:y val="5.4433524138675901E-2"/>
          <c:w val="0.82000635699041902"/>
          <c:h val="0.83669942758397198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Packs!$T$1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circle"/>
            <c:size val="9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Packs!$O$35:$O$2555</c:f>
            </c:numRef>
          </c:xVal>
          <c:yVal>
            <c:numRef>
              <c:f>Packs!$T$35:$T$2555</c:f>
              <c:numCache>
                <c:formatCode>0.0</c:formatCode>
                <c:ptCount val="2521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 formatCode="General">
                  <c:v>480</c:v>
                </c:pt>
                <c:pt idx="7" formatCode="General">
                  <c:v>480</c:v>
                </c:pt>
                <c:pt idx="8">
                  <c:v>122.222222222222</c:v>
                </c:pt>
                <c:pt idx="9">
                  <c:v>179.86888888888899</c:v>
                </c:pt>
                <c:pt idx="10">
                  <c:v>200.59111111111099</c:v>
                </c:pt>
                <c:pt idx="11">
                  <c:v>250</c:v>
                </c:pt>
                <c:pt idx="12">
                  <c:v>322.222222222222</c:v>
                </c:pt>
                <c:pt idx="13" formatCode="General">
                  <c:v>468</c:v>
                </c:pt>
                <c:pt idx="14">
                  <c:v>690</c:v>
                </c:pt>
                <c:pt idx="15">
                  <c:v>129</c:v>
                </c:pt>
                <c:pt idx="16">
                  <c:v>166.666666666667</c:v>
                </c:pt>
                <c:pt idx="17">
                  <c:v>166.666666666667</c:v>
                </c:pt>
                <c:pt idx="18">
                  <c:v>166.666666666667</c:v>
                </c:pt>
                <c:pt idx="19">
                  <c:v>166.666666666667</c:v>
                </c:pt>
                <c:pt idx="20">
                  <c:v>277.777777777778</c:v>
                </c:pt>
                <c:pt idx="21">
                  <c:v>166.666666666667</c:v>
                </c:pt>
                <c:pt idx="22">
                  <c:v>232.222222222222</c:v>
                </c:pt>
                <c:pt idx="26" formatCode="0">
                  <c:v>444.44444444444503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E9-44F8-86DA-81CA11EB0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1568"/>
        <c:axId val="30919165"/>
      </c:scatterChart>
      <c:valAx>
        <c:axId val="1371156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Estimated Pack Resistance [W10s]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0919165"/>
        <c:crosses val="autoZero"/>
        <c:crossBetween val="midCat"/>
      </c:valAx>
      <c:valAx>
        <c:axId val="30919165"/>
        <c:scaling>
          <c:orientation val="minMax"/>
          <c:max val="1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Peak Discharge Power [kW10s]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371156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560452949186599"/>
          <c:y val="4.6288702070945299E-2"/>
          <c:w val="0.84164695764351805"/>
          <c:h val="0.84385892966987897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Packs!$T$1:$T$2</c:f>
              <c:strCache>
                <c:ptCount val="2"/>
                <c:pt idx="0">
                  <c:v>1077</c:v>
                </c:pt>
                <c:pt idx="1">
                  <c:v>Power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9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Packs!$I$4:$I$2561</c:f>
              <c:numCache>
                <c:formatCode>0.00</c:formatCode>
                <c:ptCount val="2558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Packs!$T$4:$T$2561</c:f>
              <c:numCache>
                <c:formatCode>General</c:formatCode>
                <c:ptCount val="2558"/>
                <c:pt idx="0" formatCode="0.0">
                  <c:v>281.39999999999998</c:v>
                </c:pt>
                <c:pt idx="1">
                  <c:v>141</c:v>
                </c:pt>
                <c:pt idx="2" formatCode="0.0">
                  <c:v>166.666666666667</c:v>
                </c:pt>
                <c:pt idx="4">
                  <c:v>248</c:v>
                </c:pt>
                <c:pt idx="5" formatCode="0.0">
                  <c:v>138.888888888889</c:v>
                </c:pt>
                <c:pt idx="9" formatCode="0.0">
                  <c:v>150</c:v>
                </c:pt>
                <c:pt idx="10" formatCode="0.0">
                  <c:v>138.888888888889</c:v>
                </c:pt>
                <c:pt idx="11" formatCode="0.0">
                  <c:v>138.888888888889</c:v>
                </c:pt>
                <c:pt idx="12" formatCode="0.0">
                  <c:v>397</c:v>
                </c:pt>
                <c:pt idx="13" formatCode="0">
                  <c:v>274</c:v>
                </c:pt>
                <c:pt idx="14" formatCode="0">
                  <c:v>586</c:v>
                </c:pt>
                <c:pt idx="15">
                  <c:v>390</c:v>
                </c:pt>
                <c:pt idx="16">
                  <c:v>230</c:v>
                </c:pt>
                <c:pt idx="17">
                  <c:v>241</c:v>
                </c:pt>
                <c:pt idx="22" formatCode="0">
                  <c:v>326.66666666666703</c:v>
                </c:pt>
                <c:pt idx="23">
                  <c:v>38.304000000000002</c:v>
                </c:pt>
                <c:pt idx="24" formatCode="0.0">
                  <c:v>157.894736842105</c:v>
                </c:pt>
                <c:pt idx="25">
                  <c:v>320</c:v>
                </c:pt>
                <c:pt idx="26">
                  <c:v>480</c:v>
                </c:pt>
                <c:pt idx="27">
                  <c:v>360</c:v>
                </c:pt>
                <c:pt idx="28">
                  <c:v>480</c:v>
                </c:pt>
                <c:pt idx="29">
                  <c:v>480</c:v>
                </c:pt>
                <c:pt idx="30">
                  <c:v>480</c:v>
                </c:pt>
                <c:pt idx="31" formatCode="0.0">
                  <c:v>400</c:v>
                </c:pt>
                <c:pt idx="32" formatCode="0.0">
                  <c:v>400</c:v>
                </c:pt>
                <c:pt idx="33" formatCode="0.0">
                  <c:v>400</c:v>
                </c:pt>
                <c:pt idx="34" formatCode="0.0">
                  <c:v>400</c:v>
                </c:pt>
                <c:pt idx="35" formatCode="0.0">
                  <c:v>400</c:v>
                </c:pt>
                <c:pt idx="36" formatCode="0.0">
                  <c:v>400</c:v>
                </c:pt>
                <c:pt idx="37">
                  <c:v>480</c:v>
                </c:pt>
                <c:pt idx="38">
                  <c:v>480</c:v>
                </c:pt>
                <c:pt idx="39" formatCode="0.0">
                  <c:v>122.222222222222</c:v>
                </c:pt>
                <c:pt idx="40" formatCode="0.0">
                  <c:v>179.86888888888899</c:v>
                </c:pt>
                <c:pt idx="41" formatCode="0.0">
                  <c:v>200.59111111111099</c:v>
                </c:pt>
                <c:pt idx="42" formatCode="0.0">
                  <c:v>250</c:v>
                </c:pt>
                <c:pt idx="43" formatCode="0.0">
                  <c:v>322.222222222222</c:v>
                </c:pt>
                <c:pt idx="44">
                  <c:v>468</c:v>
                </c:pt>
                <c:pt idx="45" formatCode="0.0">
                  <c:v>690</c:v>
                </c:pt>
                <c:pt idx="46" formatCode="0.0">
                  <c:v>129</c:v>
                </c:pt>
                <c:pt idx="47" formatCode="0.0">
                  <c:v>166.666666666667</c:v>
                </c:pt>
                <c:pt idx="48" formatCode="0.0">
                  <c:v>166.666666666667</c:v>
                </c:pt>
                <c:pt idx="49" formatCode="0.0">
                  <c:v>166.666666666667</c:v>
                </c:pt>
                <c:pt idx="50" formatCode="0.0">
                  <c:v>166.666666666667</c:v>
                </c:pt>
                <c:pt idx="51" formatCode="0.0">
                  <c:v>277.777777777778</c:v>
                </c:pt>
                <c:pt idx="52" formatCode="0.0">
                  <c:v>166.666666666667</c:v>
                </c:pt>
                <c:pt idx="53" formatCode="0.0">
                  <c:v>232.222222222222</c:v>
                </c:pt>
                <c:pt idx="57" formatCode="0">
                  <c:v>444.44444444444503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2-458B-A62A-00F59BCBB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4628"/>
        <c:axId val="30801787"/>
      </c:scatterChart>
      <c:valAx>
        <c:axId val="17914628"/>
        <c:scaling>
          <c:logBase val="10"/>
          <c:orientation val="minMax"/>
          <c:max val="10000"/>
          <c:min val="0.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Total Energy [kWh]</a:t>
                </a:r>
              </a:p>
            </c:rich>
          </c:tx>
          <c:layout>
            <c:manualLayout>
              <c:xMode val="edge"/>
              <c:yMode val="edge"/>
              <c:x val="0.45850354762416701"/>
              <c:y val="0.9419212630715599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0801787"/>
        <c:crosses val="autoZero"/>
        <c:crossBetween val="midCat"/>
        <c:majorUnit val="1"/>
      </c:valAx>
      <c:valAx>
        <c:axId val="30801787"/>
        <c:scaling>
          <c:logBase val="10"/>
          <c:orientation val="minMax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6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Peak Power [kW]</a:t>
                </a:r>
              </a:p>
            </c:rich>
          </c:tx>
          <c:layout>
            <c:manualLayout>
              <c:xMode val="edge"/>
              <c:yMode val="edge"/>
              <c:x val="6.0058768723571999E-2"/>
              <c:y val="0.368874307976215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7914628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36651308794491"/>
          <c:y val="3.8851351351351399E-2"/>
          <c:w val="0.81773074781023802"/>
          <c:h val="0.83488175675675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Packs!$BN$1</c:f>
              <c:strCache>
                <c:ptCount val="1"/>
                <c:pt idx="0">
                  <c:v>740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4472C4"/>
                </a:solidFill>
                <a:prstDash val="dashDot"/>
                <a:round/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Packs!$G$35:$G$2555</c:f>
            </c:numRef>
          </c:xVal>
          <c:yVal>
            <c:numRef>
              <c:f>Packs!$BN$35:$BN$2555</c:f>
              <c:numCache>
                <c:formatCode>0</c:formatCode>
                <c:ptCount val="2521"/>
                <c:pt idx="0">
                  <c:v>162.19290441818299</c:v>
                </c:pt>
                <c:pt idx="1">
                  <c:v>127.337409564768</c:v>
                </c:pt>
                <c:pt idx="2">
                  <c:v>127.337409564768</c:v>
                </c:pt>
                <c:pt idx="3">
                  <c:v>169.783212753024</c:v>
                </c:pt>
                <c:pt idx="4">
                  <c:v>169.783212753024</c:v>
                </c:pt>
                <c:pt idx="5">
                  <c:v>254.67481912953599</c:v>
                </c:pt>
                <c:pt idx="6">
                  <c:v>127.337409564768</c:v>
                </c:pt>
                <c:pt idx="7">
                  <c:v>169.783212753024</c:v>
                </c:pt>
                <c:pt idx="8">
                  <c:v>81.329181150927994</c:v>
                </c:pt>
                <c:pt idx="9">
                  <c:v>56.140734177115398</c:v>
                </c:pt>
                <c:pt idx="10">
                  <c:v>77.406163789659104</c:v>
                </c:pt>
                <c:pt idx="11">
                  <c:v>77.406163789659104</c:v>
                </c:pt>
                <c:pt idx="12">
                  <c:v>77.406163789659104</c:v>
                </c:pt>
                <c:pt idx="13">
                  <c:v>248.25585338734601</c:v>
                </c:pt>
                <c:pt idx="14">
                  <c:v>251.12882562277599</c:v>
                </c:pt>
                <c:pt idx="15">
                  <c:v>57.682374790096198</c:v>
                </c:pt>
                <c:pt idx="16">
                  <c:v>221.91847561305701</c:v>
                </c:pt>
                <c:pt idx="17">
                  <c:v>221.91847561305701</c:v>
                </c:pt>
                <c:pt idx="18">
                  <c:v>281.379078255602</c:v>
                </c:pt>
                <c:pt idx="19">
                  <c:v>221.94554214258699</c:v>
                </c:pt>
                <c:pt idx="23">
                  <c:v>221.94554214258699</c:v>
                </c:pt>
                <c:pt idx="24">
                  <c:v>221.94554214258699</c:v>
                </c:pt>
                <c:pt idx="25">
                  <c:v>221.94554214258699</c:v>
                </c:pt>
                <c:pt idx="26">
                  <c:v>313.32247148765498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7-41D5-9D4D-21038CCD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9511"/>
        <c:axId val="59633916"/>
      </c:scatterChart>
      <c:valAx>
        <c:axId val="55659511"/>
        <c:scaling>
          <c:orientation val="minMax"/>
          <c:max val="2030"/>
          <c:min val="1995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9633916"/>
        <c:crosses val="autoZero"/>
        <c:crossBetween val="midCat"/>
      </c:valAx>
      <c:valAx>
        <c:axId val="5963391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Pack Gravimetric Energy Density [Wh/kg]</a:t>
                </a:r>
              </a:p>
            </c:rich>
          </c:tx>
          <c:layout>
            <c:manualLayout>
              <c:xMode val="edge"/>
              <c:yMode val="edge"/>
              <c:x val="2.37456331324996E-2"/>
              <c:y val="0.150760135135135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56595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Packs!$AW$1:$AW$2</c:f>
              <c:strCache>
                <c:ptCount val="2"/>
                <c:pt idx="0">
                  <c:v>1158</c:v>
                </c:pt>
                <c:pt idx="1">
                  <c:v>Pack-Cells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Packs!$I$4:$I$2555</c:f>
              <c:numCache>
                <c:formatCode>0.00</c:formatCode>
                <c:ptCount val="2552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Packs!$AW$4:$AW$2555</c:f>
              <c:numCache>
                <c:formatCode>General</c:formatCode>
                <c:ptCount val="2552"/>
                <c:pt idx="1">
                  <c:v>143.98400000000001</c:v>
                </c:pt>
                <c:pt idx="2">
                  <c:v>179.976</c:v>
                </c:pt>
                <c:pt idx="3">
                  <c:v>179.976</c:v>
                </c:pt>
                <c:pt idx="4">
                  <c:v>179.976</c:v>
                </c:pt>
                <c:pt idx="5">
                  <c:v>142.06399999999999</c:v>
                </c:pt>
                <c:pt idx="6">
                  <c:v>179.976</c:v>
                </c:pt>
                <c:pt idx="7">
                  <c:v>179.976</c:v>
                </c:pt>
                <c:pt idx="8">
                  <c:v>179.976</c:v>
                </c:pt>
                <c:pt idx="9" formatCode="0">
                  <c:v>67</c:v>
                </c:pt>
                <c:pt idx="10" formatCode="0">
                  <c:v>38</c:v>
                </c:pt>
                <c:pt idx="11" formatCode="0">
                  <c:v>63</c:v>
                </c:pt>
                <c:pt idx="15" formatCode="0">
                  <c:v>113.72972972973</c:v>
                </c:pt>
                <c:pt idx="16" formatCode="0">
                  <c:v>111.72972972973</c:v>
                </c:pt>
                <c:pt idx="17">
                  <c:v>126.4</c:v>
                </c:pt>
                <c:pt idx="22">
                  <c:v>256</c:v>
                </c:pt>
                <c:pt idx="24" formatCode="0.0">
                  <c:v>168.333333333333</c:v>
                </c:pt>
                <c:pt idx="27" formatCode="0">
                  <c:v>159.12799999999999</c:v>
                </c:pt>
                <c:pt idx="36" formatCode="0">
                  <c:v>186.62666666666701</c:v>
                </c:pt>
                <c:pt idx="39">
                  <c:v>127.512</c:v>
                </c:pt>
                <c:pt idx="45">
                  <c:v>255.56800000000001</c:v>
                </c:pt>
                <c:pt idx="46">
                  <c:v>178.15600000000001</c:v>
                </c:pt>
                <c:pt idx="47">
                  <c:v>182</c:v>
                </c:pt>
                <c:pt idx="48">
                  <c:v>182</c:v>
                </c:pt>
                <c:pt idx="49">
                  <c:v>138.184</c:v>
                </c:pt>
                <c:pt idx="50">
                  <c:v>181.976</c:v>
                </c:pt>
                <c:pt idx="51">
                  <c:v>181.976</c:v>
                </c:pt>
                <c:pt idx="52">
                  <c:v>138.184</c:v>
                </c:pt>
                <c:pt idx="53">
                  <c:v>182</c:v>
                </c:pt>
                <c:pt idx="54">
                  <c:v>182</c:v>
                </c:pt>
                <c:pt idx="55">
                  <c:v>182</c:v>
                </c:pt>
                <c:pt idx="56">
                  <c:v>182</c:v>
                </c:pt>
                <c:pt idx="57" formatCode="0">
                  <c:v>235.88079999999999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B-42D4-96EB-CFEAAE06D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51740"/>
        <c:axId val="17885216"/>
      </c:scatterChart>
      <c:valAx>
        <c:axId val="45651740"/>
        <c:scaling>
          <c:orientation val="minMax"/>
          <c:max val="2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Pack Total Energy [kWh]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7885216"/>
        <c:crosses val="autoZero"/>
        <c:crossBetween val="midCat"/>
      </c:valAx>
      <c:valAx>
        <c:axId val="17885216"/>
        <c:scaling>
          <c:orientation val="minMax"/>
          <c:max val="40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2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Weight of everything other than Cells [kg]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565174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9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Packs!$BM$4:$BM$1703</c:f>
              <c:numCache>
                <c:formatCode>0</c:formatCode>
                <c:ptCount val="1700"/>
                <c:pt idx="1">
                  <c:v>157.142857142857</c:v>
                </c:pt>
                <c:pt idx="2">
                  <c:v>167.689161554192</c:v>
                </c:pt>
                <c:pt idx="3">
                  <c:v>167.689161554192</c:v>
                </c:pt>
                <c:pt idx="4">
                  <c:v>167.689161554192</c:v>
                </c:pt>
                <c:pt idx="5">
                  <c:v>157.142857142857</c:v>
                </c:pt>
                <c:pt idx="6">
                  <c:v>167.689161554192</c:v>
                </c:pt>
                <c:pt idx="7">
                  <c:v>167.689161554192</c:v>
                </c:pt>
                <c:pt idx="8">
                  <c:v>167.689161554192</c:v>
                </c:pt>
                <c:pt idx="9">
                  <c:v>151.79856115107901</c:v>
                </c:pt>
                <c:pt idx="10">
                  <c:v>90.689361702127698</c:v>
                </c:pt>
                <c:pt idx="11">
                  <c:v>129.72</c:v>
                </c:pt>
                <c:pt idx="12">
                  <c:v>174</c:v>
                </c:pt>
                <c:pt idx="13">
                  <c:v>148.47838728435701</c:v>
                </c:pt>
                <c:pt idx="14">
                  <c:v>174</c:v>
                </c:pt>
                <c:pt idx="15">
                  <c:v>147.42857142857099</c:v>
                </c:pt>
                <c:pt idx="16">
                  <c:v>147.95698924731201</c:v>
                </c:pt>
                <c:pt idx="17">
                  <c:v>85</c:v>
                </c:pt>
                <c:pt idx="18">
                  <c:v>140.44943820224699</c:v>
                </c:pt>
                <c:pt idx="19">
                  <c:v>140.44943820224699</c:v>
                </c:pt>
                <c:pt idx="20">
                  <c:v>140.44943820224699</c:v>
                </c:pt>
                <c:pt idx="21">
                  <c:v>140.44943820224699</c:v>
                </c:pt>
                <c:pt idx="22">
                  <c:v>147.86885245901601</c:v>
                </c:pt>
                <c:pt idx="23">
                  <c:v>126.081370449679</c:v>
                </c:pt>
                <c:pt idx="24">
                  <c:v>217.777777777778</c:v>
                </c:pt>
                <c:pt idx="25">
                  <c:v>180.18018018018</c:v>
                </c:pt>
                <c:pt idx="26">
                  <c:v>180.18018018018</c:v>
                </c:pt>
                <c:pt idx="27">
                  <c:v>257.84765217391299</c:v>
                </c:pt>
                <c:pt idx="28">
                  <c:v>133.333333333333</c:v>
                </c:pt>
                <c:pt idx="29">
                  <c:v>140.186915887851</c:v>
                </c:pt>
                <c:pt idx="30">
                  <c:v>180.18018018018</c:v>
                </c:pt>
                <c:pt idx="31">
                  <c:v>133.333333333333</c:v>
                </c:pt>
                <c:pt idx="32">
                  <c:v>140.186915887851</c:v>
                </c:pt>
                <c:pt idx="33">
                  <c:v>140.186915887851</c:v>
                </c:pt>
                <c:pt idx="34">
                  <c:v>180.18018018018</c:v>
                </c:pt>
                <c:pt idx="35">
                  <c:v>180.18018018018</c:v>
                </c:pt>
                <c:pt idx="36">
                  <c:v>260.86956521739103</c:v>
                </c:pt>
                <c:pt idx="37">
                  <c:v>140.186915887851</c:v>
                </c:pt>
                <c:pt idx="38">
                  <c:v>180.18018018018</c:v>
                </c:pt>
                <c:pt idx="39">
                  <c:v>130.23102310230999</c:v>
                </c:pt>
                <c:pt idx="40" formatCode="0.0">
                  <c:v>145.1</c:v>
                </c:pt>
                <c:pt idx="41" formatCode="0.0">
                  <c:v>156.4</c:v>
                </c:pt>
                <c:pt idx="42" formatCode="0.0">
                  <c:v>156.4</c:v>
                </c:pt>
                <c:pt idx="43" formatCode="0.0">
                  <c:v>156.4</c:v>
                </c:pt>
                <c:pt idx="45">
                  <c:v>177.30452261306499</c:v>
                </c:pt>
                <c:pt idx="46">
                  <c:v>110.77423728813601</c:v>
                </c:pt>
                <c:pt idx="47">
                  <c:v>166.98574338085501</c:v>
                </c:pt>
                <c:pt idx="48">
                  <c:v>166.98574338085501</c:v>
                </c:pt>
                <c:pt idx="49">
                  <c:v>164.89361702127701</c:v>
                </c:pt>
                <c:pt idx="50">
                  <c:v>167.00610997963301</c:v>
                </c:pt>
                <c:pt idx="51" formatCode="0.0">
                  <c:v>161.69999999999999</c:v>
                </c:pt>
                <c:pt idx="52" formatCode="0.0">
                  <c:v>164.6</c:v>
                </c:pt>
                <c:pt idx="53" formatCode="0.0">
                  <c:v>161.69999999999999</c:v>
                </c:pt>
                <c:pt idx="54">
                  <c:v>167.00610997963301</c:v>
                </c:pt>
                <c:pt idx="55">
                  <c:v>167.00610997963301</c:v>
                </c:pt>
                <c:pt idx="56">
                  <c:v>167.00610997963301</c:v>
                </c:pt>
                <c:pt idx="57">
                  <c:v>192.572214580468</c:v>
                </c:pt>
              </c:numCache>
            </c:numRef>
          </c:xVal>
          <c:yVal>
            <c:numRef>
              <c:f>Packs!$BN$4:$BN$1703</c:f>
              <c:numCache>
                <c:formatCode>0</c:formatCode>
                <c:ptCount val="1700"/>
                <c:pt idx="0">
                  <c:v>194.202349374763</c:v>
                </c:pt>
                <c:pt idx="1">
                  <c:v>164.63122605364001</c:v>
                </c:pt>
                <c:pt idx="2">
                  <c:v>194.202349374763</c:v>
                </c:pt>
                <c:pt idx="3">
                  <c:v>194.202349374763</c:v>
                </c:pt>
                <c:pt idx="4">
                  <c:v>194.202349374763</c:v>
                </c:pt>
                <c:pt idx="5">
                  <c:v>164.63122605364001</c:v>
                </c:pt>
                <c:pt idx="6">
                  <c:v>194.202349374763</c:v>
                </c:pt>
                <c:pt idx="7">
                  <c:v>194.202349374763</c:v>
                </c:pt>
                <c:pt idx="8">
                  <c:v>194.202349374763</c:v>
                </c:pt>
                <c:pt idx="9">
                  <c:v>151.55772611119801</c:v>
                </c:pt>
                <c:pt idx="10">
                  <c:v>76.540243101465805</c:v>
                </c:pt>
                <c:pt idx="11">
                  <c:v>119.264868890356</c:v>
                </c:pt>
                <c:pt idx="12">
                  <c:v>188.36081526074699</c:v>
                </c:pt>
                <c:pt idx="13">
                  <c:v>129.40303541680001</c:v>
                </c:pt>
                <c:pt idx="14">
                  <c:v>188.36081526074699</c:v>
                </c:pt>
                <c:pt idx="15">
                  <c:v>288.34749225694799</c:v>
                </c:pt>
                <c:pt idx="16">
                  <c:v>288.34749225694799</c:v>
                </c:pt>
                <c:pt idx="17">
                  <c:v>82.157106061326004</c:v>
                </c:pt>
                <c:pt idx="18">
                  <c:v>175.43120991396901</c:v>
                </c:pt>
                <c:pt idx="19">
                  <c:v>175.43120991396901</c:v>
                </c:pt>
                <c:pt idx="20">
                  <c:v>175.43120991396901</c:v>
                </c:pt>
                <c:pt idx="21">
                  <c:v>175.43120991396901</c:v>
                </c:pt>
                <c:pt idx="22">
                  <c:v>89.464955922143702</c:v>
                </c:pt>
                <c:pt idx="23">
                  <c:v>135.35765985732701</c:v>
                </c:pt>
                <c:pt idx="24">
                  <c:v>396.18515591980702</c:v>
                </c:pt>
                <c:pt idx="25">
                  <c:v>169.783212753024</c:v>
                </c:pt>
                <c:pt idx="26">
                  <c:v>169.783212753024</c:v>
                </c:pt>
                <c:pt idx="27">
                  <c:v>251.72466602473901</c:v>
                </c:pt>
                <c:pt idx="28">
                  <c:v>118.848248927117</c:v>
                </c:pt>
                <c:pt idx="29">
                  <c:v>127.337409564768</c:v>
                </c:pt>
                <c:pt idx="30">
                  <c:v>169.783212753024</c:v>
                </c:pt>
                <c:pt idx="31">
                  <c:v>162.19290441818299</c:v>
                </c:pt>
                <c:pt idx="32">
                  <c:v>127.337409564768</c:v>
                </c:pt>
                <c:pt idx="33">
                  <c:v>127.337409564768</c:v>
                </c:pt>
                <c:pt idx="34">
                  <c:v>169.783212753024</c:v>
                </c:pt>
                <c:pt idx="35">
                  <c:v>169.783212753024</c:v>
                </c:pt>
                <c:pt idx="36">
                  <c:v>254.67481912953599</c:v>
                </c:pt>
                <c:pt idx="37">
                  <c:v>127.337409564768</c:v>
                </c:pt>
                <c:pt idx="38">
                  <c:v>169.783212753024</c:v>
                </c:pt>
                <c:pt idx="39">
                  <c:v>81.329181150927994</c:v>
                </c:pt>
                <c:pt idx="40">
                  <c:v>56.140734177115398</c:v>
                </c:pt>
                <c:pt idx="41">
                  <c:v>77.406163789659104</c:v>
                </c:pt>
                <c:pt idx="42">
                  <c:v>77.406163789659104</c:v>
                </c:pt>
                <c:pt idx="43">
                  <c:v>77.406163789659104</c:v>
                </c:pt>
                <c:pt idx="44">
                  <c:v>248.25585338734601</c:v>
                </c:pt>
                <c:pt idx="45">
                  <c:v>251.12882562277599</c:v>
                </c:pt>
                <c:pt idx="46">
                  <c:v>57.682374790096198</c:v>
                </c:pt>
                <c:pt idx="47">
                  <c:v>221.91847561305701</c:v>
                </c:pt>
                <c:pt idx="48">
                  <c:v>221.91847561305701</c:v>
                </c:pt>
                <c:pt idx="49">
                  <c:v>281.379078255602</c:v>
                </c:pt>
                <c:pt idx="50">
                  <c:v>221.94554214258699</c:v>
                </c:pt>
                <c:pt idx="54">
                  <c:v>221.94554214258699</c:v>
                </c:pt>
                <c:pt idx="55">
                  <c:v>221.94554214258699</c:v>
                </c:pt>
                <c:pt idx="56">
                  <c:v>221.94554214258699</c:v>
                </c:pt>
                <c:pt idx="57">
                  <c:v>313.32247148765498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8-4F70-B3F9-8FCDA03F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1251"/>
        <c:axId val="1801239"/>
      </c:scatterChart>
      <c:valAx>
        <c:axId val="5672125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8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8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Gravimetric Energy Density [Wh/kg]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801239"/>
        <c:crosses val="autoZero"/>
        <c:crossBetween val="midCat"/>
      </c:valAx>
      <c:valAx>
        <c:axId val="1801239"/>
        <c:scaling>
          <c:orientation val="minMax"/>
          <c:max val="4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8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8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Volumetric Energy Density [Wh/litre]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67212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213884014936803E-2"/>
          <c:y val="8.3683179401063498E-2"/>
          <c:w val="0.85220677554325797"/>
          <c:h val="0.78743352924713095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Packs!$CG$1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Packs!$CG$4:$CG$2555</c:f>
            </c:numRef>
          </c:xVal>
          <c:yVal>
            <c:numRef>
              <c:f>Packs!$BN$4:$BN$2555</c:f>
              <c:numCache>
                <c:formatCode>0</c:formatCode>
                <c:ptCount val="2552"/>
                <c:pt idx="0">
                  <c:v>194.202349374763</c:v>
                </c:pt>
                <c:pt idx="1">
                  <c:v>164.63122605364001</c:v>
                </c:pt>
                <c:pt idx="2">
                  <c:v>194.202349374763</c:v>
                </c:pt>
                <c:pt idx="3">
                  <c:v>194.202349374763</c:v>
                </c:pt>
                <c:pt idx="4">
                  <c:v>194.202349374763</c:v>
                </c:pt>
                <c:pt idx="5">
                  <c:v>164.63122605364001</c:v>
                </c:pt>
                <c:pt idx="6">
                  <c:v>194.202349374763</c:v>
                </c:pt>
                <c:pt idx="7">
                  <c:v>194.202349374763</c:v>
                </c:pt>
                <c:pt idx="8">
                  <c:v>194.202349374763</c:v>
                </c:pt>
                <c:pt idx="9">
                  <c:v>151.55772611119801</c:v>
                </c:pt>
                <c:pt idx="10">
                  <c:v>76.540243101465805</c:v>
                </c:pt>
                <c:pt idx="11">
                  <c:v>119.264868890356</c:v>
                </c:pt>
                <c:pt idx="12">
                  <c:v>188.36081526074699</c:v>
                </c:pt>
                <c:pt idx="13">
                  <c:v>129.40303541680001</c:v>
                </c:pt>
                <c:pt idx="14">
                  <c:v>188.36081526074699</c:v>
                </c:pt>
                <c:pt idx="15">
                  <c:v>288.34749225694799</c:v>
                </c:pt>
                <c:pt idx="16">
                  <c:v>288.34749225694799</c:v>
                </c:pt>
                <c:pt idx="17">
                  <c:v>82.157106061326004</c:v>
                </c:pt>
                <c:pt idx="18">
                  <c:v>175.43120991396901</c:v>
                </c:pt>
                <c:pt idx="19">
                  <c:v>175.43120991396901</c:v>
                </c:pt>
                <c:pt idx="20">
                  <c:v>175.43120991396901</c:v>
                </c:pt>
                <c:pt idx="21">
                  <c:v>175.43120991396901</c:v>
                </c:pt>
                <c:pt idx="22">
                  <c:v>89.464955922143702</c:v>
                </c:pt>
                <c:pt idx="23">
                  <c:v>135.35765985732701</c:v>
                </c:pt>
                <c:pt idx="24">
                  <c:v>396.18515591980702</c:v>
                </c:pt>
                <c:pt idx="25">
                  <c:v>169.783212753024</c:v>
                </c:pt>
                <c:pt idx="26">
                  <c:v>169.783212753024</c:v>
                </c:pt>
                <c:pt idx="27">
                  <c:v>251.72466602473901</c:v>
                </c:pt>
                <c:pt idx="28">
                  <c:v>118.848248927117</c:v>
                </c:pt>
                <c:pt idx="29">
                  <c:v>127.337409564768</c:v>
                </c:pt>
                <c:pt idx="30">
                  <c:v>169.783212753024</c:v>
                </c:pt>
                <c:pt idx="31">
                  <c:v>162.19290441818299</c:v>
                </c:pt>
                <c:pt idx="32">
                  <c:v>127.337409564768</c:v>
                </c:pt>
                <c:pt idx="33">
                  <c:v>127.337409564768</c:v>
                </c:pt>
                <c:pt idx="34">
                  <c:v>169.783212753024</c:v>
                </c:pt>
                <c:pt idx="35">
                  <c:v>169.783212753024</c:v>
                </c:pt>
                <c:pt idx="36">
                  <c:v>254.67481912953599</c:v>
                </c:pt>
                <c:pt idx="37">
                  <c:v>127.337409564768</c:v>
                </c:pt>
                <c:pt idx="38">
                  <c:v>169.783212753024</c:v>
                </c:pt>
                <c:pt idx="39">
                  <c:v>81.329181150927994</c:v>
                </c:pt>
                <c:pt idx="40">
                  <c:v>56.140734177115398</c:v>
                </c:pt>
                <c:pt idx="41">
                  <c:v>77.406163789659104</c:v>
                </c:pt>
                <c:pt idx="42">
                  <c:v>77.406163789659104</c:v>
                </c:pt>
                <c:pt idx="43">
                  <c:v>77.406163789659104</c:v>
                </c:pt>
                <c:pt idx="44">
                  <c:v>248.25585338734601</c:v>
                </c:pt>
                <c:pt idx="45">
                  <c:v>251.12882562277599</c:v>
                </c:pt>
                <c:pt idx="46">
                  <c:v>57.682374790096198</c:v>
                </c:pt>
                <c:pt idx="47">
                  <c:v>221.91847561305701</c:v>
                </c:pt>
                <c:pt idx="48">
                  <c:v>221.91847561305701</c:v>
                </c:pt>
                <c:pt idx="49">
                  <c:v>281.379078255602</c:v>
                </c:pt>
                <c:pt idx="50">
                  <c:v>221.94554214258699</c:v>
                </c:pt>
                <c:pt idx="54">
                  <c:v>221.94554214258699</c:v>
                </c:pt>
                <c:pt idx="55">
                  <c:v>221.94554214258699</c:v>
                </c:pt>
                <c:pt idx="56">
                  <c:v>221.94554214258699</c:v>
                </c:pt>
                <c:pt idx="57">
                  <c:v>313.32247148765498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B-47E2-9D51-4F0F9D4DC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2949"/>
        <c:axId val="53994010"/>
      </c:scatterChart>
      <c:valAx>
        <c:axId val="18472949"/>
        <c:scaling>
          <c:orientation val="minMax"/>
          <c:max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Cell Nominal Capacity [Ah]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3994010"/>
        <c:crosses val="autoZero"/>
        <c:crossBetween val="midCat"/>
      </c:valAx>
      <c:valAx>
        <c:axId val="539940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Battery Pack [Wh/litre]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847294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60558350917101"/>
          <c:y val="5.5842185128983299E-2"/>
          <c:w val="0.81443759130011395"/>
          <c:h val="0.8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Packs!$AA$1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x"/>
            <c:size val="1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Packs!$G$4:$G$2555</c:f>
            </c:numRef>
          </c:xVal>
          <c:yVal>
            <c:numRef>
              <c:f>Packs!$AA$4:$AA$2555</c:f>
            </c:numRef>
          </c:yVal>
          <c:smooth val="0"/>
          <c:extLst>
            <c:ext xmlns:c16="http://schemas.microsoft.com/office/drawing/2014/chart" uri="{C3380CC4-5D6E-409C-BE32-E72D297353CC}">
              <c16:uniqueId val="{00000000-F9B3-4F3B-8C7A-98DAE9DD9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83735"/>
        <c:axId val="29432392"/>
      </c:scatterChart>
      <c:valAx>
        <c:axId val="55183735"/>
        <c:scaling>
          <c:orientation val="minMax"/>
          <c:max val="2030"/>
          <c:min val="201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GB" sz="16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6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Year of Release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29432392"/>
        <c:crosses val="autoZero"/>
        <c:crossBetween val="midCat"/>
        <c:majorUnit val="5"/>
      </c:valAx>
      <c:valAx>
        <c:axId val="29432392"/>
        <c:scaling>
          <c:logBase val="10"/>
          <c:orientation val="minMax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GB" sz="16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6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Peak Fast Charge Power [kW]</a:t>
                </a:r>
              </a:p>
            </c:rich>
          </c:tx>
          <c:layout>
            <c:manualLayout>
              <c:xMode val="edge"/>
              <c:yMode val="edge"/>
              <c:x val="2.6213277065411499E-2"/>
              <c:y val="0.272230652503794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551837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110106554730402E-2"/>
          <c:y val="6.5319201380330302E-2"/>
          <c:w val="0.84694865999354196"/>
          <c:h val="0.82721222578259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Packs!$AX$1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circle"/>
            <c:size val="12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4472C4"/>
                </a:solidFill>
                <a:prstDash val="lgDashDotDot"/>
                <a:round/>
              </a:ln>
            </c:spPr>
            <c:trendlineType val="linear"/>
            <c:dispRSqr val="0"/>
            <c:dispEq val="0"/>
          </c:trendline>
          <c:xVal>
            <c:numRef>
              <c:f>Packs!$G$4:$G$2555</c:f>
            </c:numRef>
          </c:xVal>
          <c:yVal>
            <c:numRef>
              <c:f>Packs!$AX$4:$AX$2555</c:f>
              <c:numCache>
                <c:formatCode>0%</c:formatCode>
                <c:ptCount val="2552"/>
                <c:pt idx="1">
                  <c:v>0.58861714285714295</c:v>
                </c:pt>
                <c:pt idx="2">
                  <c:v>0.63195092024539901</c:v>
                </c:pt>
                <c:pt idx="3">
                  <c:v>0.63195092024539901</c:v>
                </c:pt>
                <c:pt idx="4">
                  <c:v>0.63195092024539901</c:v>
                </c:pt>
                <c:pt idx="5">
                  <c:v>0.59410285714285704</c:v>
                </c:pt>
                <c:pt idx="6">
                  <c:v>0.63195092024539901</c:v>
                </c:pt>
                <c:pt idx="7">
                  <c:v>0.63195092024539901</c:v>
                </c:pt>
                <c:pt idx="8">
                  <c:v>0.63195092024539901</c:v>
                </c:pt>
                <c:pt idx="9">
                  <c:v>0.75899280575539596</c:v>
                </c:pt>
                <c:pt idx="10">
                  <c:v>0.83829787234042596</c:v>
                </c:pt>
                <c:pt idx="11">
                  <c:v>0.75390625</c:v>
                </c:pt>
                <c:pt idx="15" formatCode="0.0%">
                  <c:v>0.79691119691119705</c:v>
                </c:pt>
                <c:pt idx="16" formatCode="0.0%">
                  <c:v>0.79976750944492903</c:v>
                </c:pt>
                <c:pt idx="17">
                  <c:v>0.70467289719626203</c:v>
                </c:pt>
                <c:pt idx="22">
                  <c:v>0.58032786885245902</c:v>
                </c:pt>
                <c:pt idx="24">
                  <c:v>0.65993265993266004</c:v>
                </c:pt>
                <c:pt idx="27">
                  <c:v>0.72325565217391297</c:v>
                </c:pt>
                <c:pt idx="36">
                  <c:v>0.67543188405797105</c:v>
                </c:pt>
                <c:pt idx="39">
                  <c:v>0.57916831683168302</c:v>
                </c:pt>
                <c:pt idx="45" formatCode="0.0%">
                  <c:v>0.678934673366834</c:v>
                </c:pt>
                <c:pt idx="46">
                  <c:v>0.53544719687092601</c:v>
                </c:pt>
                <c:pt idx="47">
                  <c:v>0.62932790224032598</c:v>
                </c:pt>
                <c:pt idx="48">
                  <c:v>0.62932790224032598</c:v>
                </c:pt>
                <c:pt idx="49">
                  <c:v>0.63248936170212799</c:v>
                </c:pt>
                <c:pt idx="50">
                  <c:v>0.629376782077393</c:v>
                </c:pt>
                <c:pt idx="51">
                  <c:v>0.629376782077393</c:v>
                </c:pt>
                <c:pt idx="52">
                  <c:v>0.63248936170212799</c:v>
                </c:pt>
                <c:pt idx="53">
                  <c:v>0.62932790224032598</c:v>
                </c:pt>
                <c:pt idx="54">
                  <c:v>0.62932790224032598</c:v>
                </c:pt>
                <c:pt idx="55">
                  <c:v>0.62932790224032598</c:v>
                </c:pt>
                <c:pt idx="56">
                  <c:v>0.62932790224032598</c:v>
                </c:pt>
                <c:pt idx="57">
                  <c:v>0.67554222833562605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21-44A6-879A-1BE1672E6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49516"/>
        <c:axId val="21426564"/>
      </c:scatterChart>
      <c:valAx>
        <c:axId val="92449516"/>
        <c:scaling>
          <c:orientation val="minMax"/>
          <c:max val="2030"/>
          <c:min val="2005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First Produced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426564"/>
        <c:crosses val="autoZero"/>
        <c:crossBetween val="midCat"/>
      </c:valAx>
      <c:valAx>
        <c:axId val="21426564"/>
        <c:scaling>
          <c:orientation val="minMax"/>
          <c:max val="1"/>
          <c:min val="0.3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Cell to Pack Mass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24495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68120085776"/>
          <c:y val="5.5998944660642397E-2"/>
          <c:w val="0.83502501786990702"/>
          <c:h val="0.80878570015170503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Packs!$CL$1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ED7D31"/>
                </a:solidFill>
                <a:prstDash val="dash"/>
                <a:round/>
              </a:ln>
            </c:spPr>
            <c:trendlineType val="linear"/>
            <c:forward val="100"/>
            <c:backward val="100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Packs!$CL$4:$CL$2555</c:f>
            </c:numRef>
          </c:xVal>
          <c:yVal>
            <c:numRef>
              <c:f>Packs!$BN$4:$BN$2555</c:f>
              <c:numCache>
                <c:formatCode>0</c:formatCode>
                <c:ptCount val="2552"/>
                <c:pt idx="0">
                  <c:v>194.202349374763</c:v>
                </c:pt>
                <c:pt idx="1">
                  <c:v>164.63122605364001</c:v>
                </c:pt>
                <c:pt idx="2">
                  <c:v>194.202349374763</c:v>
                </c:pt>
                <c:pt idx="3">
                  <c:v>194.202349374763</c:v>
                </c:pt>
                <c:pt idx="4">
                  <c:v>194.202349374763</c:v>
                </c:pt>
                <c:pt idx="5">
                  <c:v>164.63122605364001</c:v>
                </c:pt>
                <c:pt idx="6">
                  <c:v>194.202349374763</c:v>
                </c:pt>
                <c:pt idx="7">
                  <c:v>194.202349374763</c:v>
                </c:pt>
                <c:pt idx="8">
                  <c:v>194.202349374763</c:v>
                </c:pt>
                <c:pt idx="9">
                  <c:v>151.55772611119801</c:v>
                </c:pt>
                <c:pt idx="10">
                  <c:v>76.540243101465805</c:v>
                </c:pt>
                <c:pt idx="11">
                  <c:v>119.264868890356</c:v>
                </c:pt>
                <c:pt idx="12">
                  <c:v>188.36081526074699</c:v>
                </c:pt>
                <c:pt idx="13">
                  <c:v>129.40303541680001</c:v>
                </c:pt>
                <c:pt idx="14">
                  <c:v>188.36081526074699</c:v>
                </c:pt>
                <c:pt idx="15">
                  <c:v>288.34749225694799</c:v>
                </c:pt>
                <c:pt idx="16">
                  <c:v>288.34749225694799</c:v>
                </c:pt>
                <c:pt idx="17">
                  <c:v>82.157106061326004</c:v>
                </c:pt>
                <c:pt idx="18">
                  <c:v>175.43120991396901</c:v>
                </c:pt>
                <c:pt idx="19">
                  <c:v>175.43120991396901</c:v>
                </c:pt>
                <c:pt idx="20">
                  <c:v>175.43120991396901</c:v>
                </c:pt>
                <c:pt idx="21">
                  <c:v>175.43120991396901</c:v>
                </c:pt>
                <c:pt idx="22">
                  <c:v>89.464955922143702</c:v>
                </c:pt>
                <c:pt idx="23">
                  <c:v>135.35765985732701</c:v>
                </c:pt>
                <c:pt idx="24">
                  <c:v>396.18515591980702</c:v>
                </c:pt>
                <c:pt idx="25">
                  <c:v>169.783212753024</c:v>
                </c:pt>
                <c:pt idx="26">
                  <c:v>169.783212753024</c:v>
                </c:pt>
                <c:pt idx="27">
                  <c:v>251.72466602473901</c:v>
                </c:pt>
                <c:pt idx="28">
                  <c:v>118.848248927117</c:v>
                </c:pt>
                <c:pt idx="29">
                  <c:v>127.337409564768</c:v>
                </c:pt>
                <c:pt idx="30">
                  <c:v>169.783212753024</c:v>
                </c:pt>
                <c:pt idx="31">
                  <c:v>162.19290441818299</c:v>
                </c:pt>
                <c:pt idx="32">
                  <c:v>127.337409564768</c:v>
                </c:pt>
                <c:pt idx="33">
                  <c:v>127.337409564768</c:v>
                </c:pt>
                <c:pt idx="34">
                  <c:v>169.783212753024</c:v>
                </c:pt>
                <c:pt idx="35">
                  <c:v>169.783212753024</c:v>
                </c:pt>
                <c:pt idx="36">
                  <c:v>254.67481912953599</c:v>
                </c:pt>
                <c:pt idx="37">
                  <c:v>127.337409564768</c:v>
                </c:pt>
                <c:pt idx="38">
                  <c:v>169.783212753024</c:v>
                </c:pt>
                <c:pt idx="39">
                  <c:v>81.329181150927994</c:v>
                </c:pt>
                <c:pt idx="40">
                  <c:v>56.140734177115398</c:v>
                </c:pt>
                <c:pt idx="41">
                  <c:v>77.406163789659104</c:v>
                </c:pt>
                <c:pt idx="42">
                  <c:v>77.406163789659104</c:v>
                </c:pt>
                <c:pt idx="43">
                  <c:v>77.406163789659104</c:v>
                </c:pt>
                <c:pt idx="44">
                  <c:v>248.25585338734601</c:v>
                </c:pt>
                <c:pt idx="45">
                  <c:v>251.12882562277599</c:v>
                </c:pt>
                <c:pt idx="46">
                  <c:v>57.682374790096198</c:v>
                </c:pt>
                <c:pt idx="47">
                  <c:v>221.91847561305701</c:v>
                </c:pt>
                <c:pt idx="48">
                  <c:v>221.91847561305701</c:v>
                </c:pt>
                <c:pt idx="49">
                  <c:v>281.379078255602</c:v>
                </c:pt>
                <c:pt idx="50">
                  <c:v>221.94554214258699</c:v>
                </c:pt>
                <c:pt idx="54">
                  <c:v>221.94554214258699</c:v>
                </c:pt>
                <c:pt idx="55">
                  <c:v>221.94554214258699</c:v>
                </c:pt>
                <c:pt idx="56">
                  <c:v>221.94554214258699</c:v>
                </c:pt>
                <c:pt idx="57">
                  <c:v>313.32247148765498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D-4A6D-A25A-28ACF6F44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172"/>
        <c:axId val="2006413"/>
      </c:scatterChart>
      <c:valAx>
        <c:axId val="15454172"/>
        <c:scaling>
          <c:orientation val="minMax"/>
          <c:max val="90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Cell Volumetric Energy Density [Wh/litre]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006413"/>
        <c:crosses val="autoZero"/>
        <c:crossBetween val="midCat"/>
      </c:valAx>
      <c:valAx>
        <c:axId val="2006413"/>
        <c:scaling>
          <c:orientation val="minMax"/>
          <c:max val="40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Pack Volumetric Energy Density [Wh/litre]</a:t>
                </a:r>
              </a:p>
            </c:rich>
          </c:tx>
          <c:layout>
            <c:manualLayout>
              <c:xMode val="edge"/>
              <c:yMode val="edge"/>
              <c:x val="2.7591136526090101E-2"/>
              <c:y val="0.2184552470153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54541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Packs!$K$4:$K$2555</c:f>
            </c:numRef>
          </c:xVal>
          <c:yVal>
            <c:numRef>
              <c:f>Packs!$CP$4:$CP$2555</c:f>
            </c:numRef>
          </c:yVal>
          <c:smooth val="0"/>
          <c:extLst>
            <c:ext xmlns:c16="http://schemas.microsoft.com/office/drawing/2014/chart" uri="{C3380CC4-5D6E-409C-BE32-E72D297353CC}">
              <c16:uniqueId val="{00000000-BDA5-4AD7-83AA-A118394B9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95348"/>
        <c:axId val="42141781"/>
      </c:scatterChart>
      <c:valAx>
        <c:axId val="40995348"/>
        <c:scaling>
          <c:orientation val="minMax"/>
          <c:max val="10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GB" sz="1400" b="0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Battery Pack Nominal Voltage [V]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42141781"/>
        <c:crosses val="autoZero"/>
        <c:crossBetween val="midCat"/>
        <c:majorUnit val="200"/>
        <c:minorUnit val="25"/>
      </c:valAx>
      <c:valAx>
        <c:axId val="42141781"/>
        <c:scaling>
          <c:orientation val="minMax"/>
          <c:max val="3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GB" sz="1400" b="0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Number of Cells in Series [#S]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4099534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Pt>
            <c:idx val="128"/>
            <c:marker>
              <c:spPr>
                <a:solidFill>
                  <a:srgbClr val="4472C4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4C1-43E4-A6C2-83BD3E4607BE}"/>
              </c:ext>
            </c:extLst>
          </c:dPt>
          <c:dLbls>
            <c:dLbl>
              <c:idx val="12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0-24C1-43E4-A6C2-83BD3E4607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Packs!$CG$4:$CG$1722</c:f>
            </c:numRef>
          </c:xVal>
          <c:yVal>
            <c:numRef>
              <c:f>Packs!$BD$4:$BD$1722</c:f>
              <c:numCache>
                <c:formatCode>0.0%</c:formatCode>
                <c:ptCount val="1719"/>
                <c:pt idx="0">
                  <c:v>0.32158031027448802</c:v>
                </c:pt>
                <c:pt idx="2">
                  <c:v>0.32158031027448802</c:v>
                </c:pt>
                <c:pt idx="3">
                  <c:v>0.32158031027448802</c:v>
                </c:pt>
                <c:pt idx="4">
                  <c:v>0.32158031027448802</c:v>
                </c:pt>
                <c:pt idx="5">
                  <c:v>0.27261338972286803</c:v>
                </c:pt>
                <c:pt idx="6">
                  <c:v>0.32158031027448802</c:v>
                </c:pt>
                <c:pt idx="7">
                  <c:v>0.32158031027448802</c:v>
                </c:pt>
                <c:pt idx="8">
                  <c:v>0.32158031027448802</c:v>
                </c:pt>
                <c:pt idx="9">
                  <c:v>0.32875862497006098</c:v>
                </c:pt>
                <c:pt idx="10">
                  <c:v>0.33570282062046403</c:v>
                </c:pt>
                <c:pt idx="11">
                  <c:v>0.33595737715593299</c:v>
                </c:pt>
                <c:pt idx="15">
                  <c:v>0.70157540695121101</c:v>
                </c:pt>
                <c:pt idx="16">
                  <c:v>0.70157540695121101</c:v>
                </c:pt>
                <c:pt idx="17">
                  <c:v>0.19446111715672501</c:v>
                </c:pt>
                <c:pt idx="27">
                  <c:v>0.32480602067708297</c:v>
                </c:pt>
                <c:pt idx="39">
                  <c:v>0.176802567719409</c:v>
                </c:pt>
                <c:pt idx="45">
                  <c:v>0.33936327786861598</c:v>
                </c:pt>
                <c:pt idx="46">
                  <c:v>9.9178219699030498E-2</c:v>
                </c:pt>
                <c:pt idx="47">
                  <c:v>0.36747553504397601</c:v>
                </c:pt>
                <c:pt idx="48">
                  <c:v>0.36747553504397601</c:v>
                </c:pt>
                <c:pt idx="49">
                  <c:v>0.46593654289717101</c:v>
                </c:pt>
                <c:pt idx="50">
                  <c:v>0.36752035459941501</c:v>
                </c:pt>
                <c:pt idx="51">
                  <c:v>0.36797851005501298</c:v>
                </c:pt>
                <c:pt idx="52">
                  <c:v>0.46666365593340298</c:v>
                </c:pt>
                <c:pt idx="53">
                  <c:v>0.36797851005501298</c:v>
                </c:pt>
                <c:pt idx="54">
                  <c:v>0.36752035459941501</c:v>
                </c:pt>
                <c:pt idx="55">
                  <c:v>0.36752035459941501</c:v>
                </c:pt>
                <c:pt idx="56">
                  <c:v>0.36752035459941501</c:v>
                </c:pt>
                <c:pt idx="57">
                  <c:v>0.45277813798794098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1-43E4-A6C2-83BD3E460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82993"/>
        <c:axId val="92435557"/>
      </c:scatterChart>
      <c:valAx>
        <c:axId val="91982993"/>
        <c:scaling>
          <c:orientation val="minMax"/>
          <c:max val="30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600" b="0" strike="noStrike" spc="-1">
                    <a:solidFill>
                      <a:srgbClr val="0D0D0D"/>
                    </a:solidFill>
                    <a:latin typeface="Calibri"/>
                    <a:ea typeface="Calibri"/>
                  </a:defRPr>
                </a:pPr>
                <a:r>
                  <a:rPr lang="en-US" sz="1600" b="0" strike="noStrike" spc="-1">
                    <a:solidFill>
                      <a:srgbClr val="0D0D0D"/>
                    </a:solidFill>
                    <a:latin typeface="Calibri"/>
                    <a:ea typeface="Calibri"/>
                  </a:rPr>
                  <a:t>Battery Cell Capacity [Ah]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D0D0D"/>
                </a:solidFill>
                <a:latin typeface="Calibri"/>
                <a:ea typeface="Calibri"/>
              </a:defRPr>
            </a:pPr>
            <a:endParaRPr lang="en-US"/>
          </a:p>
        </c:txPr>
        <c:crossAx val="92435557"/>
        <c:crosses val="autoZero"/>
        <c:crossBetween val="midCat"/>
      </c:valAx>
      <c:valAx>
        <c:axId val="9243555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600" b="0" strike="noStrike" spc="-1">
                    <a:solidFill>
                      <a:srgbClr val="0D0D0D"/>
                    </a:solidFill>
                    <a:latin typeface="Calibri"/>
                    <a:ea typeface="Calibri"/>
                  </a:defRPr>
                </a:pPr>
                <a:r>
                  <a:rPr lang="en-US" sz="1600" b="0" strike="noStrike" spc="-1">
                    <a:solidFill>
                      <a:srgbClr val="0D0D0D"/>
                    </a:solidFill>
                    <a:latin typeface="Calibri"/>
                    <a:ea typeface="Calibri"/>
                  </a:rPr>
                  <a:t>Cell to Pack Volume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0D0D0D"/>
                </a:solidFill>
                <a:latin typeface="Calibri"/>
                <a:ea typeface="Calibri"/>
              </a:defRPr>
            </a:pPr>
            <a:endParaRPr lang="en-US"/>
          </a:p>
        </c:txPr>
        <c:crossAx val="9198299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Packs!$BU$1:$BU$2</c:f>
              <c:strCache>
                <c:ptCount val="2"/>
                <c:pt idx="0">
                  <c:v>740</c:v>
                </c:pt>
                <c:pt idx="1">
                  <c:v>Round Trip Efficiency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11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Packs!$I$4:$I$2555</c:f>
              <c:numCache>
                <c:formatCode>0.00</c:formatCode>
                <c:ptCount val="2552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Packs!$BU$4:$BU$2555</c:f>
            </c:numRef>
          </c:yVal>
          <c:smooth val="0"/>
          <c:extLst>
            <c:ext xmlns:c16="http://schemas.microsoft.com/office/drawing/2014/chart" uri="{C3380CC4-5D6E-409C-BE32-E72D297353CC}">
              <c16:uniqueId val="{00000000-41C9-46E9-9588-2B686D7BF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43247"/>
        <c:axId val="5846559"/>
      </c:scatterChart>
      <c:valAx>
        <c:axId val="81943247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GB" sz="12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2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Battery Pack Total Energy [kWh]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5846559"/>
        <c:crosses val="autoZero"/>
        <c:crossBetween val="midCat"/>
      </c:valAx>
      <c:valAx>
        <c:axId val="5846559"/>
        <c:scaling>
          <c:orientation val="minMax"/>
          <c:max val="1"/>
          <c:min val="0.8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GB" sz="12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2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DC Round Trip Efficiency</a:t>
                </a:r>
              </a:p>
            </c:rich>
          </c:tx>
          <c:layout>
            <c:manualLayout>
              <c:xMode val="edge"/>
              <c:yMode val="edge"/>
              <c:x val="9.8824963972951999E-2"/>
              <c:y val="0.306114372402875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81943247"/>
        <c:crosses val="autoZero"/>
        <c:crossBetween val="midCat"/>
        <c:majorUnit val="0.0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Packs!$CP$4:$CP$2555</c:f>
            </c:numRef>
          </c:xVal>
          <c:yVal>
            <c:numRef>
              <c:f>Packs!$K$4:$K$2555</c:f>
            </c:numRef>
          </c:yVal>
          <c:smooth val="0"/>
          <c:extLst>
            <c:ext xmlns:c16="http://schemas.microsoft.com/office/drawing/2014/chart" uri="{C3380CC4-5D6E-409C-BE32-E72D297353CC}">
              <c16:uniqueId val="{00000000-3EC0-4C81-8BD4-C905ED707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98442"/>
        <c:axId val="99721437"/>
      </c:scatterChart>
      <c:valAx>
        <c:axId val="9929844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200" b="0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200" b="0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Number of Cells in Series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99721437"/>
        <c:crosses val="autoZero"/>
        <c:crossBetween val="midCat"/>
      </c:valAx>
      <c:valAx>
        <c:axId val="997214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200" b="0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200" b="0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Pack Nominal Voltage [V]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9929844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Packs!$AX$1:$AX$2</c:f>
              <c:strCache>
                <c:ptCount val="2"/>
                <c:pt idx="0">
                  <c:v>1158</c:v>
                </c:pt>
                <c:pt idx="1">
                  <c:v>Cell to Pack Ratio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9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Packs!$I$4:$I$1703</c:f>
              <c:numCache>
                <c:formatCode>0.00</c:formatCode>
                <c:ptCount val="1700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xVal>
          <c:yVal>
            <c:numRef>
              <c:f>Packs!$AX$4:$AX$1703</c:f>
              <c:numCache>
                <c:formatCode>0%</c:formatCode>
                <c:ptCount val="1700"/>
                <c:pt idx="1">
                  <c:v>0.58861714285714295</c:v>
                </c:pt>
                <c:pt idx="2">
                  <c:v>0.63195092024539901</c:v>
                </c:pt>
                <c:pt idx="3">
                  <c:v>0.63195092024539901</c:v>
                </c:pt>
                <c:pt idx="4">
                  <c:v>0.63195092024539901</c:v>
                </c:pt>
                <c:pt idx="5">
                  <c:v>0.59410285714285704</c:v>
                </c:pt>
                <c:pt idx="6">
                  <c:v>0.63195092024539901</c:v>
                </c:pt>
                <c:pt idx="7">
                  <c:v>0.63195092024539901</c:v>
                </c:pt>
                <c:pt idx="8">
                  <c:v>0.63195092024539901</c:v>
                </c:pt>
                <c:pt idx="9">
                  <c:v>0.75899280575539596</c:v>
                </c:pt>
                <c:pt idx="10">
                  <c:v>0.83829787234042596</c:v>
                </c:pt>
                <c:pt idx="11">
                  <c:v>0.75390625</c:v>
                </c:pt>
                <c:pt idx="15" formatCode="0.0%">
                  <c:v>0.79691119691119705</c:v>
                </c:pt>
                <c:pt idx="16" formatCode="0.0%">
                  <c:v>0.79976750944492903</c:v>
                </c:pt>
                <c:pt idx="17">
                  <c:v>0.70467289719626203</c:v>
                </c:pt>
                <c:pt idx="22">
                  <c:v>0.58032786885245902</c:v>
                </c:pt>
                <c:pt idx="24">
                  <c:v>0.65993265993266004</c:v>
                </c:pt>
                <c:pt idx="27">
                  <c:v>0.72325565217391297</c:v>
                </c:pt>
                <c:pt idx="36">
                  <c:v>0.67543188405797105</c:v>
                </c:pt>
                <c:pt idx="39">
                  <c:v>0.57916831683168302</c:v>
                </c:pt>
                <c:pt idx="45" formatCode="0.0%">
                  <c:v>0.678934673366834</c:v>
                </c:pt>
                <c:pt idx="46">
                  <c:v>0.53544719687092601</c:v>
                </c:pt>
                <c:pt idx="47">
                  <c:v>0.62932790224032598</c:v>
                </c:pt>
                <c:pt idx="48">
                  <c:v>0.62932790224032598</c:v>
                </c:pt>
                <c:pt idx="49">
                  <c:v>0.63248936170212799</c:v>
                </c:pt>
                <c:pt idx="50">
                  <c:v>0.629376782077393</c:v>
                </c:pt>
                <c:pt idx="51">
                  <c:v>0.629376782077393</c:v>
                </c:pt>
                <c:pt idx="52">
                  <c:v>0.63248936170212799</c:v>
                </c:pt>
                <c:pt idx="53">
                  <c:v>0.62932790224032598</c:v>
                </c:pt>
                <c:pt idx="54">
                  <c:v>0.62932790224032598</c:v>
                </c:pt>
                <c:pt idx="55">
                  <c:v>0.62932790224032598</c:v>
                </c:pt>
                <c:pt idx="56">
                  <c:v>0.62932790224032598</c:v>
                </c:pt>
                <c:pt idx="57">
                  <c:v>0.67554222833562605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C6-4FCA-BD1E-120049732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80863"/>
        <c:axId val="68712745"/>
      </c:scatterChart>
      <c:valAx>
        <c:axId val="49580863"/>
        <c:scaling>
          <c:orientation val="minMax"/>
          <c:max val="20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4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4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Pack Total Energy [kWh]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68712745"/>
        <c:crosses val="autoZero"/>
        <c:crossBetween val="midCat"/>
      </c:valAx>
      <c:valAx>
        <c:axId val="6871274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4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4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Cell to Pack Mass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49580863"/>
        <c:crosses val="autoZero"/>
        <c:crossBetween val="midCat"/>
        <c:majorUnit val="0.2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698829979929"/>
          <c:y val="5.1355741596901198E-2"/>
          <c:w val="0.76839477162578895"/>
          <c:h val="0.79295264275896504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Packs!$AS$1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circle"/>
            <c:size val="9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Packs!$G$4:$G$2555</c:f>
            </c:numRef>
          </c:xVal>
          <c:yVal>
            <c:numRef>
              <c:f>Packs!$AS$4:$AS$2555</c:f>
            </c:numRef>
          </c:yVal>
          <c:smooth val="0"/>
          <c:extLst>
            <c:ext xmlns:c16="http://schemas.microsoft.com/office/drawing/2014/chart" uri="{C3380CC4-5D6E-409C-BE32-E72D297353CC}">
              <c16:uniqueId val="{00000000-D767-46E6-8CCB-7AC49761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6262"/>
        <c:axId val="77762732"/>
      </c:scatterChart>
      <c:valAx>
        <c:axId val="66756262"/>
        <c:scaling>
          <c:orientation val="minMax"/>
          <c:min val="2015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400" b="0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First Produced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77762732"/>
        <c:crosses val="autoZero"/>
        <c:crossBetween val="midCat"/>
      </c:valAx>
      <c:valAx>
        <c:axId val="777627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400" b="0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400" b="0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Mileage Warranty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6675626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800" b="0" strike="noStrike" spc="-1">
                <a:solidFill>
                  <a:srgbClr val="595959"/>
                </a:solidFill>
                <a:latin typeface="Calibri"/>
                <a:ea typeface="Calibri"/>
              </a:rPr>
              <a:t>What capacity Cells are being used 
to make different kWh of Packs?</a:t>
            </a:r>
          </a:p>
        </c:rich>
      </c:tx>
      <c:layout>
        <c:manualLayout>
          <c:xMode val="edge"/>
          <c:yMode val="edge"/>
          <c:x val="0.398877718026654"/>
          <c:y val="8.6224857761038498E-2"/>
        </c:manualLayout>
      </c:layout>
      <c:overlay val="0"/>
      <c:spPr>
        <a:solidFill>
          <a:srgbClr val="FFFFFF"/>
        </a:solidFill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495206920739"/>
          <c:y val="6.5149451077810699E-2"/>
          <c:w val="0.84305588028992295"/>
          <c:h val="0.79301226059780405"/>
        </c:manualLayout>
      </c:layout>
      <c:scatterChart>
        <c:scatterStyle val="lineMarker"/>
        <c:varyColors val="0"/>
        <c:ser>
          <c:idx val="0"/>
          <c:order val="0"/>
          <c:tx>
            <c:strRef>
              <c:f>Packs!$CG$1:$CG$2</c:f>
              <c:strCache>
                <c:ptCount val="2"/>
                <c:pt idx="0">
                  <c:v>1004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Packs!$CG$4:$CG$1703</c:f>
            </c:numRef>
          </c:xVal>
          <c:yVal>
            <c:numRef>
              <c:f>Packs!$I$4:$I$1703</c:f>
              <c:numCache>
                <c:formatCode>0.00</c:formatCode>
                <c:ptCount val="1700"/>
                <c:pt idx="0">
                  <c:v>82</c:v>
                </c:pt>
                <c:pt idx="1">
                  <c:v>55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55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42.2</c:v>
                </c:pt>
                <c:pt idx="10">
                  <c:v>21.312000000000001</c:v>
                </c:pt>
                <c:pt idx="11">
                  <c:v>33.208320000000001</c:v>
                </c:pt>
                <c:pt idx="12">
                  <c:v>111.5</c:v>
                </c:pt>
                <c:pt idx="13">
                  <c:v>76.599999999999994</c:v>
                </c:pt>
                <c:pt idx="14">
                  <c:v>111.5</c:v>
                </c:pt>
                <c:pt idx="15">
                  <c:v>82.56</c:v>
                </c:pt>
                <c:pt idx="16">
                  <c:v>82.56</c:v>
                </c:pt>
                <c:pt idx="17">
                  <c:v>61.056600000000003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90.2</c:v>
                </c:pt>
                <c:pt idx="23">
                  <c:v>5.8879999999999999</c:v>
                </c:pt>
                <c:pt idx="24" formatCode="General">
                  <c:v>107.8</c:v>
                </c:pt>
                <c:pt idx="25">
                  <c:v>100</c:v>
                </c:pt>
                <c:pt idx="26">
                  <c:v>100</c:v>
                </c:pt>
                <c:pt idx="27">
                  <c:v>148.26240000000001</c:v>
                </c:pt>
                <c:pt idx="28">
                  <c:v>70</c:v>
                </c:pt>
                <c:pt idx="29">
                  <c:v>75</c:v>
                </c:pt>
                <c:pt idx="30">
                  <c:v>100</c:v>
                </c:pt>
                <c:pt idx="31">
                  <c:v>70</c:v>
                </c:pt>
                <c:pt idx="32">
                  <c:v>75</c:v>
                </c:pt>
                <c:pt idx="33">
                  <c:v>75</c:v>
                </c:pt>
                <c:pt idx="34">
                  <c:v>100</c:v>
                </c:pt>
                <c:pt idx="35">
                  <c:v>100</c:v>
                </c:pt>
                <c:pt idx="36">
                  <c:v>150</c:v>
                </c:pt>
                <c:pt idx="37">
                  <c:v>75</c:v>
                </c:pt>
                <c:pt idx="38">
                  <c:v>100</c:v>
                </c:pt>
                <c:pt idx="39">
                  <c:v>39.46</c:v>
                </c:pt>
                <c:pt idx="40">
                  <c:v>66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67.62</c:v>
                </c:pt>
                <c:pt idx="45">
                  <c:v>141.1344</c:v>
                </c:pt>
                <c:pt idx="46">
                  <c:v>42.481920000000002</c:v>
                </c:pt>
                <c:pt idx="47">
                  <c:v>81.99</c:v>
                </c:pt>
                <c:pt idx="48">
                  <c:v>81.99</c:v>
                </c:pt>
                <c:pt idx="49">
                  <c:v>62</c:v>
                </c:pt>
                <c:pt idx="50">
                  <c:v>82</c:v>
                </c:pt>
                <c:pt idx="51">
                  <c:v>82</c:v>
                </c:pt>
                <c:pt idx="52">
                  <c:v>62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3-4F4A-BF72-56C34110C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11906"/>
        <c:axId val="25829550"/>
      </c:scatterChart>
      <c:valAx>
        <c:axId val="67911906"/>
        <c:scaling>
          <c:orientation val="minMax"/>
          <c:max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GB" sz="1100" b="0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GB" sz="1100" b="0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Cell Capacity [Ah]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25829550"/>
        <c:crosses val="autoZero"/>
        <c:crossBetween val="midCat"/>
      </c:valAx>
      <c:valAx>
        <c:axId val="25829550"/>
        <c:scaling>
          <c:orientation val="minMax"/>
          <c:max val="2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100" b="0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en-US" sz="1100" b="0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Pack  Total Energy [kWh]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6791190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171</xdr:col>
      <xdr:colOff>291960</xdr:colOff>
      <xdr:row>1709</xdr:row>
      <xdr:rowOff>90360</xdr:rowOff>
    </xdr:from>
    <xdr:to>
      <xdr:col>179</xdr:col>
      <xdr:colOff>329760</xdr:colOff>
      <xdr:row>1741</xdr:row>
      <xdr:rowOff>42840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171</xdr:col>
      <xdr:colOff>536040</xdr:colOff>
      <xdr:row>652</xdr:row>
      <xdr:rowOff>146160</xdr:rowOff>
    </xdr:from>
    <xdr:to>
      <xdr:col>182</xdr:col>
      <xdr:colOff>323280</xdr:colOff>
      <xdr:row>682</xdr:row>
      <xdr:rowOff>78480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171</xdr:col>
      <xdr:colOff>500400</xdr:colOff>
      <xdr:row>43</xdr:row>
      <xdr:rowOff>167040</xdr:rowOff>
    </xdr:from>
    <xdr:to>
      <xdr:col>178</xdr:col>
      <xdr:colOff>896040</xdr:colOff>
      <xdr:row>44</xdr:row>
      <xdr:rowOff>39600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174</xdr:col>
      <xdr:colOff>25560</xdr:colOff>
      <xdr:row>1289</xdr:row>
      <xdr:rowOff>0</xdr:rowOff>
    </xdr:from>
    <xdr:to>
      <xdr:col>182</xdr:col>
      <xdr:colOff>562320</xdr:colOff>
      <xdr:row>1302</xdr:row>
      <xdr:rowOff>126720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84</xdr:col>
      <xdr:colOff>489600</xdr:colOff>
      <xdr:row>1739</xdr:row>
      <xdr:rowOff>133200</xdr:rowOff>
    </xdr:from>
    <xdr:to>
      <xdr:col>180</xdr:col>
      <xdr:colOff>465795</xdr:colOff>
      <xdr:row>1775</xdr:row>
      <xdr:rowOff>18720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65</xdr:col>
      <xdr:colOff>450720</xdr:colOff>
      <xdr:row>1703</xdr:row>
      <xdr:rowOff>186480</xdr:rowOff>
    </xdr:from>
    <xdr:to>
      <xdr:col>177</xdr:col>
      <xdr:colOff>155115</xdr:colOff>
      <xdr:row>1742</xdr:row>
      <xdr:rowOff>89280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84</xdr:col>
      <xdr:colOff>746280</xdr:colOff>
      <xdr:row>1704</xdr:row>
      <xdr:rowOff>158760</xdr:rowOff>
    </xdr:from>
    <xdr:to>
      <xdr:col>178</xdr:col>
      <xdr:colOff>796350</xdr:colOff>
      <xdr:row>1737</xdr:row>
      <xdr:rowOff>114120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99360</xdr:colOff>
      <xdr:row>1714</xdr:row>
      <xdr:rowOff>87840</xdr:rowOff>
    </xdr:from>
    <xdr:to>
      <xdr:col>66</xdr:col>
      <xdr:colOff>11925</xdr:colOff>
      <xdr:row>1746</xdr:row>
      <xdr:rowOff>25200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50</xdr:col>
      <xdr:colOff>336600</xdr:colOff>
      <xdr:row>1707</xdr:row>
      <xdr:rowOff>52560</xdr:rowOff>
    </xdr:from>
    <xdr:to>
      <xdr:col>69</xdr:col>
      <xdr:colOff>323460</xdr:colOff>
      <xdr:row>1733</xdr:row>
      <xdr:rowOff>40320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171</xdr:col>
      <xdr:colOff>612360</xdr:colOff>
      <xdr:row>162</xdr:row>
      <xdr:rowOff>90720</xdr:rowOff>
    </xdr:from>
    <xdr:to>
      <xdr:col>183</xdr:col>
      <xdr:colOff>535680</xdr:colOff>
      <xdr:row>189</xdr:row>
      <xdr:rowOff>66600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182</xdr:col>
      <xdr:colOff>142200</xdr:colOff>
      <xdr:row>163</xdr:row>
      <xdr:rowOff>54360</xdr:rowOff>
    </xdr:from>
    <xdr:to>
      <xdr:col>189</xdr:col>
      <xdr:colOff>756360</xdr:colOff>
      <xdr:row>189</xdr:row>
      <xdr:rowOff>22320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110</xdr:col>
      <xdr:colOff>594360</xdr:colOff>
      <xdr:row>1759</xdr:row>
      <xdr:rowOff>114480</xdr:rowOff>
    </xdr:from>
    <xdr:to>
      <xdr:col>188</xdr:col>
      <xdr:colOff>576795</xdr:colOff>
      <xdr:row>1786</xdr:row>
      <xdr:rowOff>117360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10</xdr:col>
      <xdr:colOff>482760</xdr:colOff>
      <xdr:row>1738</xdr:row>
      <xdr:rowOff>108000</xdr:rowOff>
    </xdr:from>
    <xdr:to>
      <xdr:col>64</xdr:col>
      <xdr:colOff>857070</xdr:colOff>
      <xdr:row>1776</xdr:row>
      <xdr:rowOff>68040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49</xdr:col>
      <xdr:colOff>173520</xdr:colOff>
      <xdr:row>1157</xdr:row>
      <xdr:rowOff>177840</xdr:rowOff>
    </xdr:from>
    <xdr:to>
      <xdr:col>66</xdr:col>
      <xdr:colOff>266790</xdr:colOff>
      <xdr:row>1175</xdr:row>
      <xdr:rowOff>81720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36</xdr:col>
      <xdr:colOff>762120</xdr:colOff>
      <xdr:row>1705</xdr:row>
      <xdr:rowOff>148320</xdr:rowOff>
    </xdr:from>
    <xdr:to>
      <xdr:col>66</xdr:col>
      <xdr:colOff>372435</xdr:colOff>
      <xdr:row>1740</xdr:row>
      <xdr:rowOff>169920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49</xdr:col>
      <xdr:colOff>305280</xdr:colOff>
      <xdr:row>1685</xdr:row>
      <xdr:rowOff>171360</xdr:rowOff>
    </xdr:from>
    <xdr:to>
      <xdr:col>65</xdr:col>
      <xdr:colOff>676005</xdr:colOff>
      <xdr:row>1702</xdr:row>
      <xdr:rowOff>180360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28</xdr:col>
      <xdr:colOff>488880</xdr:colOff>
      <xdr:row>1425</xdr:row>
      <xdr:rowOff>69840</xdr:rowOff>
    </xdr:from>
    <xdr:to>
      <xdr:col>65</xdr:col>
      <xdr:colOff>945780</xdr:colOff>
      <xdr:row>1440</xdr:row>
      <xdr:rowOff>66240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70</xdr:col>
      <xdr:colOff>447840</xdr:colOff>
      <xdr:row>524</xdr:row>
      <xdr:rowOff>139680</xdr:rowOff>
    </xdr:from>
    <xdr:to>
      <xdr:col>181</xdr:col>
      <xdr:colOff>600255</xdr:colOff>
      <xdr:row>525</xdr:row>
      <xdr:rowOff>113400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74</xdr:col>
      <xdr:colOff>318600</xdr:colOff>
      <xdr:row>363</xdr:row>
      <xdr:rowOff>171360</xdr:rowOff>
    </xdr:from>
    <xdr:to>
      <xdr:col>178</xdr:col>
      <xdr:colOff>852495</xdr:colOff>
      <xdr:row>377</xdr:row>
      <xdr:rowOff>76680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9</xdr:col>
      <xdr:colOff>587880</xdr:colOff>
      <xdr:row>1255</xdr:row>
      <xdr:rowOff>169920</xdr:rowOff>
    </xdr:from>
    <xdr:to>
      <xdr:col>64</xdr:col>
      <xdr:colOff>192270</xdr:colOff>
      <xdr:row>1262</xdr:row>
      <xdr:rowOff>22320</xdr:rowOff>
    </xdr:to>
    <xdr:graphicFrame macro=""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43</xdr:col>
      <xdr:colOff>120600</xdr:colOff>
      <xdr:row>255</xdr:row>
      <xdr:rowOff>0</xdr:rowOff>
    </xdr:from>
    <xdr:to>
      <xdr:col>65</xdr:col>
      <xdr:colOff>428415</xdr:colOff>
      <xdr:row>262</xdr:row>
      <xdr:rowOff>126720</xdr:rowOff>
    </xdr:to>
    <xdr:graphicFrame macro=""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96</xdr:col>
      <xdr:colOff>108000</xdr:colOff>
      <xdr:row>1707</xdr:row>
      <xdr:rowOff>44280</xdr:rowOff>
    </xdr:from>
    <xdr:to>
      <xdr:col>178</xdr:col>
      <xdr:colOff>437760</xdr:colOff>
      <xdr:row>1734</xdr:row>
      <xdr:rowOff>101160</xdr:rowOff>
    </xdr:to>
    <xdr:graphicFrame macro=""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14</xdr:col>
      <xdr:colOff>247680</xdr:colOff>
      <xdr:row>1425</xdr:row>
      <xdr:rowOff>139680</xdr:rowOff>
    </xdr:from>
    <xdr:to>
      <xdr:col>55</xdr:col>
      <xdr:colOff>5850</xdr:colOff>
      <xdr:row>1428</xdr:row>
      <xdr:rowOff>43920</xdr:rowOff>
    </xdr:to>
    <xdr:graphicFrame macro=""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177</xdr:col>
      <xdr:colOff>635040</xdr:colOff>
      <xdr:row>120</xdr:row>
      <xdr:rowOff>6480</xdr:rowOff>
    </xdr:from>
    <xdr:to>
      <xdr:col>185</xdr:col>
      <xdr:colOff>431640</xdr:colOff>
      <xdr:row>151</xdr:row>
      <xdr:rowOff>95040</xdr:rowOff>
    </xdr:to>
    <xdr:graphicFrame macro=""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74</xdr:col>
      <xdr:colOff>711360</xdr:colOff>
      <xdr:row>1742</xdr:row>
      <xdr:rowOff>57240</xdr:rowOff>
    </xdr:from>
    <xdr:to>
      <xdr:col>177</xdr:col>
      <xdr:colOff>368070</xdr:colOff>
      <xdr:row>1769</xdr:row>
      <xdr:rowOff>114120</xdr:rowOff>
    </xdr:to>
    <xdr:graphicFrame macro=""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31</xdr:col>
      <xdr:colOff>444600</xdr:colOff>
      <xdr:row>1742</xdr:row>
      <xdr:rowOff>0</xdr:rowOff>
    </xdr:from>
    <xdr:to>
      <xdr:col>64</xdr:col>
      <xdr:colOff>380670</xdr:colOff>
      <xdr:row>1774</xdr:row>
      <xdr:rowOff>139320</xdr:rowOff>
    </xdr:to>
    <xdr:graphicFrame macro=""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42</xdr:col>
      <xdr:colOff>215640</xdr:colOff>
      <xdr:row>575</xdr:row>
      <xdr:rowOff>41040</xdr:rowOff>
    </xdr:from>
    <xdr:to>
      <xdr:col>56</xdr:col>
      <xdr:colOff>600915</xdr:colOff>
      <xdr:row>591</xdr:row>
      <xdr:rowOff>78840</xdr:rowOff>
    </xdr:to>
    <xdr:graphicFrame macro=""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37</xdr:col>
      <xdr:colOff>536760</xdr:colOff>
      <xdr:row>1685</xdr:row>
      <xdr:rowOff>185400</xdr:rowOff>
    </xdr:from>
    <xdr:to>
      <xdr:col>56</xdr:col>
      <xdr:colOff>583665</xdr:colOff>
      <xdr:row>1700</xdr:row>
      <xdr:rowOff>65880</xdr:rowOff>
    </xdr:to>
    <xdr:graphicFrame macro=""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76</xdr:col>
      <xdr:colOff>476280</xdr:colOff>
      <xdr:row>1734</xdr:row>
      <xdr:rowOff>133200</xdr:rowOff>
    </xdr:from>
    <xdr:to>
      <xdr:col>177</xdr:col>
      <xdr:colOff>50550</xdr:colOff>
      <xdr:row>1757</xdr:row>
      <xdr:rowOff>24840</xdr:rowOff>
    </xdr:to>
    <xdr:graphicFrame macro=""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tabSelected="1" workbookViewId="0">
      <selection activeCell="Q5" sqref="Q5"/>
    </sheetView>
  </sheetViews>
  <sheetFormatPr defaultRowHeight="15"/>
  <cols>
    <col min="1" max="1" width="28.85546875" bestFit="1" customWidth="1"/>
  </cols>
  <sheetData>
    <row r="1" spans="1:23" ht="60">
      <c r="A1" s="19" t="s">
        <v>2</v>
      </c>
      <c r="B1" s="11" t="s">
        <v>6</v>
      </c>
      <c r="C1" s="11"/>
      <c r="D1" s="22" t="s">
        <v>10</v>
      </c>
      <c r="E1" s="179" t="s">
        <v>13</v>
      </c>
      <c r="F1" s="23" t="s">
        <v>19</v>
      </c>
      <c r="G1" s="23" t="s">
        <v>20</v>
      </c>
      <c r="H1" s="23" t="s">
        <v>21</v>
      </c>
      <c r="I1" s="23" t="s">
        <v>22</v>
      </c>
      <c r="J1" s="11" t="s">
        <v>23</v>
      </c>
      <c r="K1" s="11"/>
      <c r="L1" s="11"/>
      <c r="M1" s="23" t="s">
        <v>24</v>
      </c>
      <c r="N1" s="28" t="s">
        <v>25</v>
      </c>
      <c r="O1" s="28" t="s">
        <v>22</v>
      </c>
      <c r="P1" s="28" t="s">
        <v>21</v>
      </c>
      <c r="Q1" s="23" t="s">
        <v>29</v>
      </c>
      <c r="R1" s="22" t="s">
        <v>30</v>
      </c>
      <c r="S1" s="6" t="s">
        <v>31</v>
      </c>
      <c r="T1" s="6"/>
      <c r="U1" s="6"/>
      <c r="V1" s="11" t="s">
        <v>32</v>
      </c>
      <c r="W1" s="11"/>
    </row>
    <row r="2" spans="1:23" ht="24">
      <c r="A2" s="32" t="s">
        <v>40</v>
      </c>
      <c r="B2" s="36" t="s">
        <v>41</v>
      </c>
      <c r="C2" s="36" t="s">
        <v>42</v>
      </c>
      <c r="D2" s="36" t="s">
        <v>46</v>
      </c>
      <c r="E2" s="37" t="s">
        <v>52</v>
      </c>
      <c r="F2" s="37" t="s">
        <v>76</v>
      </c>
      <c r="G2" s="37" t="s">
        <v>76</v>
      </c>
      <c r="H2" s="37" t="s">
        <v>76</v>
      </c>
      <c r="I2" s="37" t="s">
        <v>77</v>
      </c>
      <c r="J2" s="36" t="s">
        <v>78</v>
      </c>
      <c r="K2" s="36" t="s">
        <v>79</v>
      </c>
      <c r="L2" s="36" t="s">
        <v>80</v>
      </c>
      <c r="M2" s="37" t="s">
        <v>81</v>
      </c>
      <c r="N2" s="37" t="s">
        <v>81</v>
      </c>
      <c r="O2" s="37" t="s">
        <v>77</v>
      </c>
      <c r="P2" s="37" t="s">
        <v>81</v>
      </c>
      <c r="Q2" s="37" t="s">
        <v>88</v>
      </c>
      <c r="R2" s="36" t="s">
        <v>89</v>
      </c>
      <c r="S2" s="37" t="s">
        <v>90</v>
      </c>
      <c r="T2" s="37" t="s">
        <v>91</v>
      </c>
      <c r="U2" s="37" t="s">
        <v>92</v>
      </c>
      <c r="V2" s="36" t="s">
        <v>93</v>
      </c>
      <c r="W2" s="36" t="s">
        <v>94</v>
      </c>
    </row>
    <row r="3" spans="1:23">
      <c r="A3" s="55" t="s">
        <v>194</v>
      </c>
      <c r="B3" s="62">
        <v>77</v>
      </c>
      <c r="C3" s="58">
        <v>82</v>
      </c>
      <c r="D3" s="180">
        <v>232.95454545454601</v>
      </c>
      <c r="E3" s="261">
        <v>281.39999999999998</v>
      </c>
      <c r="F3" s="62"/>
      <c r="G3" s="62"/>
      <c r="H3" s="62"/>
      <c r="I3" s="64"/>
      <c r="J3" s="181">
        <v>1820</v>
      </c>
      <c r="K3" s="181">
        <v>1450</v>
      </c>
      <c r="L3" s="181">
        <v>160</v>
      </c>
      <c r="M3" s="182">
        <v>422.24</v>
      </c>
      <c r="N3" s="183">
        <v>135.7840702103</v>
      </c>
      <c r="O3" s="184">
        <v>0.32158031027448802</v>
      </c>
      <c r="P3" s="185">
        <v>286.45592978970001</v>
      </c>
      <c r="Q3" s="59"/>
      <c r="R3" s="182">
        <v>194.202349374763</v>
      </c>
      <c r="S3" s="59"/>
      <c r="T3" s="59"/>
      <c r="U3" s="186"/>
      <c r="V3" s="62"/>
      <c r="W3" s="62"/>
    </row>
    <row r="4" spans="1:23">
      <c r="A4" s="55" t="s">
        <v>202</v>
      </c>
      <c r="B4" s="181">
        <v>51.5</v>
      </c>
      <c r="C4" s="187">
        <v>55</v>
      </c>
      <c r="D4" s="180">
        <v>156.25</v>
      </c>
      <c r="E4" s="62">
        <v>141</v>
      </c>
      <c r="F4" s="181">
        <v>350</v>
      </c>
      <c r="G4" s="62">
        <v>206.01599999999999</v>
      </c>
      <c r="H4" s="62">
        <v>143.98400000000001</v>
      </c>
      <c r="I4" s="64">
        <v>0.58861714285714295</v>
      </c>
      <c r="J4" s="181">
        <v>1440</v>
      </c>
      <c r="K4" s="181">
        <v>1450</v>
      </c>
      <c r="L4" s="181">
        <v>160</v>
      </c>
      <c r="M4" s="182">
        <v>334.08</v>
      </c>
      <c r="N4" s="183"/>
      <c r="O4" s="184"/>
      <c r="P4" s="184"/>
      <c r="Q4" s="59">
        <v>157.142857142857</v>
      </c>
      <c r="R4" s="182">
        <v>164.63122605364001</v>
      </c>
      <c r="S4" s="59">
        <v>402.857142857143</v>
      </c>
      <c r="T4" s="59"/>
      <c r="U4" s="186">
        <v>337.142857142857</v>
      </c>
      <c r="V4" s="182">
        <v>856.45963636363604</v>
      </c>
      <c r="W4" s="62"/>
    </row>
    <row r="5" spans="1:23">
      <c r="A5" s="55" t="s">
        <v>204</v>
      </c>
      <c r="B5" s="62">
        <v>76.599999999999994</v>
      </c>
      <c r="C5" s="58">
        <v>82</v>
      </c>
      <c r="D5" s="180">
        <v>232.95454545454601</v>
      </c>
      <c r="E5" s="261">
        <v>166.666666666667</v>
      </c>
      <c r="F5" s="62">
        <v>489</v>
      </c>
      <c r="G5" s="62">
        <v>309.024</v>
      </c>
      <c r="H5" s="62">
        <v>179.976</v>
      </c>
      <c r="I5" s="64">
        <v>0.63195092024539901</v>
      </c>
      <c r="J5" s="181">
        <v>1820</v>
      </c>
      <c r="K5" s="181">
        <v>1450</v>
      </c>
      <c r="L5" s="181">
        <v>160</v>
      </c>
      <c r="M5" s="182">
        <v>422.24</v>
      </c>
      <c r="N5" s="183">
        <v>135.7840702103</v>
      </c>
      <c r="O5" s="184">
        <v>0.32158031027448802</v>
      </c>
      <c r="P5" s="185">
        <v>286.45592978970001</v>
      </c>
      <c r="Q5" s="59">
        <v>167.689161554192</v>
      </c>
      <c r="R5" s="182">
        <v>194.202349374763</v>
      </c>
      <c r="S5" s="59"/>
      <c r="T5" s="59"/>
      <c r="U5" s="182">
        <v>276.07361963190198</v>
      </c>
      <c r="V5" s="182">
        <v>858.21138211382095</v>
      </c>
      <c r="W5" s="62"/>
    </row>
    <row r="6" spans="1:23">
      <c r="A6" s="55" t="s">
        <v>206</v>
      </c>
      <c r="B6" s="62">
        <v>76.599999999999994</v>
      </c>
      <c r="C6" s="58">
        <v>82</v>
      </c>
      <c r="D6" s="180">
        <v>232.95454545454601</v>
      </c>
      <c r="E6" s="62"/>
      <c r="F6" s="62">
        <v>489</v>
      </c>
      <c r="G6" s="62">
        <v>309.024</v>
      </c>
      <c r="H6" s="62">
        <v>179.976</v>
      </c>
      <c r="I6" s="64">
        <v>0.63195092024539901</v>
      </c>
      <c r="J6" s="181">
        <v>1820</v>
      </c>
      <c r="K6" s="181">
        <v>1450</v>
      </c>
      <c r="L6" s="181">
        <v>160</v>
      </c>
      <c r="M6" s="182">
        <v>422.24</v>
      </c>
      <c r="N6" s="183">
        <v>135.7840702103</v>
      </c>
      <c r="O6" s="184">
        <v>0.32158031027448802</v>
      </c>
      <c r="P6" s="185">
        <v>286.45592978970001</v>
      </c>
      <c r="Q6" s="59">
        <v>167.689161554192</v>
      </c>
      <c r="R6" s="182">
        <v>194.202349374763</v>
      </c>
      <c r="S6" s="59"/>
      <c r="T6" s="59"/>
      <c r="U6" s="186"/>
      <c r="V6" s="62"/>
      <c r="W6" s="62"/>
    </row>
    <row r="7" spans="1:23">
      <c r="A7" s="55" t="s">
        <v>208</v>
      </c>
      <c r="B7" s="62">
        <v>76.599999999999994</v>
      </c>
      <c r="C7" s="58">
        <v>82</v>
      </c>
      <c r="D7" s="180">
        <v>232.95454545454601</v>
      </c>
      <c r="E7" s="62">
        <v>248</v>
      </c>
      <c r="F7" s="62">
        <v>489</v>
      </c>
      <c r="G7" s="62">
        <v>309.024</v>
      </c>
      <c r="H7" s="62">
        <v>179.976</v>
      </c>
      <c r="I7" s="64">
        <v>0.63195092024539901</v>
      </c>
      <c r="J7" s="181">
        <v>1820</v>
      </c>
      <c r="K7" s="181">
        <v>1450</v>
      </c>
      <c r="L7" s="181">
        <v>160</v>
      </c>
      <c r="M7" s="182">
        <v>422.24</v>
      </c>
      <c r="N7" s="183">
        <v>135.7840702103</v>
      </c>
      <c r="O7" s="184">
        <v>0.32158031027448802</v>
      </c>
      <c r="P7" s="185">
        <v>286.45592978970001</v>
      </c>
      <c r="Q7" s="59">
        <v>167.689161554192</v>
      </c>
      <c r="R7" s="182">
        <v>194.202349374763</v>
      </c>
      <c r="S7" s="59">
        <v>507.15746421267897</v>
      </c>
      <c r="T7" s="59"/>
      <c r="U7" s="186">
        <v>276.07361963190198</v>
      </c>
      <c r="V7" s="182">
        <v>1277.0185365853699</v>
      </c>
      <c r="W7" s="62"/>
    </row>
    <row r="8" spans="1:23">
      <c r="A8" s="55" t="s">
        <v>210</v>
      </c>
      <c r="B8" s="62">
        <v>52</v>
      </c>
      <c r="C8" s="58">
        <v>55</v>
      </c>
      <c r="D8" s="62">
        <v>156</v>
      </c>
      <c r="E8" s="261">
        <v>138.888888888889</v>
      </c>
      <c r="F8" s="181">
        <v>350</v>
      </c>
      <c r="G8" s="62">
        <v>207.93600000000001</v>
      </c>
      <c r="H8" s="62">
        <v>142.06399999999999</v>
      </c>
      <c r="I8" s="64">
        <v>0.59410285714285704</v>
      </c>
      <c r="J8" s="181">
        <v>1440</v>
      </c>
      <c r="K8" s="181">
        <v>1450</v>
      </c>
      <c r="L8" s="181">
        <v>160</v>
      </c>
      <c r="M8" s="182">
        <v>334.08</v>
      </c>
      <c r="N8" s="183">
        <v>91.074681238615696</v>
      </c>
      <c r="O8" s="184">
        <v>0.27261338972286803</v>
      </c>
      <c r="P8" s="185">
        <v>243.00531876138399</v>
      </c>
      <c r="Q8" s="59">
        <v>157.142857142857</v>
      </c>
      <c r="R8" s="182">
        <v>164.63122605364001</v>
      </c>
      <c r="S8" s="59">
        <v>396.82539682539698</v>
      </c>
      <c r="T8" s="59"/>
      <c r="U8" s="186">
        <v>337.142857142857</v>
      </c>
      <c r="V8" s="62"/>
      <c r="W8" s="62"/>
    </row>
    <row r="9" spans="1:23">
      <c r="A9" s="55" t="s">
        <v>212</v>
      </c>
      <c r="B9" s="62">
        <v>76.599999999999994</v>
      </c>
      <c r="C9" s="58">
        <v>82</v>
      </c>
      <c r="D9" s="180">
        <v>232.95454545454601</v>
      </c>
      <c r="E9" s="62"/>
      <c r="F9" s="62">
        <v>489</v>
      </c>
      <c r="G9" s="62">
        <v>309.024</v>
      </c>
      <c r="H9" s="62">
        <v>179.976</v>
      </c>
      <c r="I9" s="64">
        <v>0.63195092024539901</v>
      </c>
      <c r="J9" s="181">
        <v>1820</v>
      </c>
      <c r="K9" s="181">
        <v>1450</v>
      </c>
      <c r="L9" s="181">
        <v>160</v>
      </c>
      <c r="M9" s="182">
        <v>422.24</v>
      </c>
      <c r="N9" s="183">
        <v>135.7840702103</v>
      </c>
      <c r="O9" s="184">
        <v>0.32158031027448802</v>
      </c>
      <c r="P9" s="185">
        <v>286.45592978970001</v>
      </c>
      <c r="Q9" s="59">
        <v>167.689161554192</v>
      </c>
      <c r="R9" s="182">
        <v>194.202349374763</v>
      </c>
      <c r="S9" s="59"/>
      <c r="T9" s="59"/>
      <c r="U9" s="186"/>
      <c r="V9" s="62"/>
      <c r="W9" s="62"/>
    </row>
    <row r="10" spans="1:23">
      <c r="A10" s="55" t="s">
        <v>214</v>
      </c>
      <c r="B10" s="62">
        <v>76.599999999999994</v>
      </c>
      <c r="C10" s="58">
        <v>82</v>
      </c>
      <c r="D10" s="180">
        <v>232.95454545454601</v>
      </c>
      <c r="E10" s="62"/>
      <c r="F10" s="62">
        <v>489</v>
      </c>
      <c r="G10" s="62">
        <v>309.024</v>
      </c>
      <c r="H10" s="62">
        <v>179.976</v>
      </c>
      <c r="I10" s="64">
        <v>0.63195092024539901</v>
      </c>
      <c r="J10" s="181">
        <v>1820</v>
      </c>
      <c r="K10" s="181">
        <v>1450</v>
      </c>
      <c r="L10" s="181">
        <v>160</v>
      </c>
      <c r="M10" s="182">
        <v>422.24</v>
      </c>
      <c r="N10" s="183">
        <v>135.7840702103</v>
      </c>
      <c r="O10" s="184">
        <v>0.32158031027448802</v>
      </c>
      <c r="P10" s="185">
        <v>286.45592978970001</v>
      </c>
      <c r="Q10" s="59">
        <v>167.689161554192</v>
      </c>
      <c r="R10" s="182">
        <v>194.202349374763</v>
      </c>
      <c r="S10" s="59"/>
      <c r="T10" s="59"/>
      <c r="U10" s="186"/>
      <c r="V10" s="62"/>
      <c r="W10" s="62"/>
    </row>
    <row r="11" spans="1:23">
      <c r="A11" s="55" t="s">
        <v>216</v>
      </c>
      <c r="B11" s="62">
        <v>76.599999999999994</v>
      </c>
      <c r="C11" s="58">
        <v>82</v>
      </c>
      <c r="D11" s="180">
        <v>232.95454545454601</v>
      </c>
      <c r="E11" s="62"/>
      <c r="F11" s="62">
        <v>489</v>
      </c>
      <c r="G11" s="62">
        <v>309.024</v>
      </c>
      <c r="H11" s="62">
        <v>179.976</v>
      </c>
      <c r="I11" s="64">
        <v>0.63195092024539901</v>
      </c>
      <c r="J11" s="181">
        <v>1820</v>
      </c>
      <c r="K11" s="181">
        <v>1450</v>
      </c>
      <c r="L11" s="181">
        <v>160</v>
      </c>
      <c r="M11" s="182">
        <v>422.24</v>
      </c>
      <c r="N11" s="183">
        <v>135.7840702103</v>
      </c>
      <c r="O11" s="184">
        <v>0.32158031027448802</v>
      </c>
      <c r="P11" s="185">
        <v>286.45592978970001</v>
      </c>
      <c r="Q11" s="59">
        <v>167.689161554192</v>
      </c>
      <c r="R11" s="182">
        <v>194.202349374763</v>
      </c>
      <c r="S11" s="59"/>
      <c r="T11" s="59"/>
      <c r="U11" s="186"/>
      <c r="V11" s="62"/>
      <c r="W11" s="62"/>
    </row>
    <row r="12" spans="1:23">
      <c r="A12" s="88" t="s">
        <v>219</v>
      </c>
      <c r="B12" s="189">
        <v>37.9</v>
      </c>
      <c r="C12" s="190">
        <v>42.2</v>
      </c>
      <c r="D12" s="191">
        <v>120</v>
      </c>
      <c r="E12" s="262">
        <v>150</v>
      </c>
      <c r="F12" s="189">
        <v>278</v>
      </c>
      <c r="G12" s="192">
        <v>211</v>
      </c>
      <c r="H12" s="192">
        <v>67</v>
      </c>
      <c r="I12" s="193">
        <v>0.75899280575539596</v>
      </c>
      <c r="J12" s="189">
        <v>1660</v>
      </c>
      <c r="K12" s="189">
        <v>964</v>
      </c>
      <c r="L12" s="189">
        <v>174</v>
      </c>
      <c r="M12" s="194">
        <v>278.44175999999999</v>
      </c>
      <c r="N12" s="191">
        <v>91.540130151843798</v>
      </c>
      <c r="O12" s="195">
        <v>0.32875862497006098</v>
      </c>
      <c r="P12" s="196">
        <v>186.90162984815601</v>
      </c>
      <c r="Q12" s="192">
        <v>151.79856115107901</v>
      </c>
      <c r="R12" s="192">
        <v>151.55772611119801</v>
      </c>
      <c r="S12" s="192">
        <v>539.56834532374103</v>
      </c>
      <c r="T12" s="197"/>
      <c r="U12" s="192">
        <v>179.85611510791401</v>
      </c>
      <c r="V12" s="197">
        <v>538.71229660378503</v>
      </c>
      <c r="W12" s="189"/>
    </row>
    <row r="13" spans="1:23">
      <c r="A13" s="188" t="s">
        <v>219</v>
      </c>
      <c r="B13" s="189">
        <v>18.8</v>
      </c>
      <c r="C13" s="190">
        <v>21.312000000000001</v>
      </c>
      <c r="D13" s="263">
        <v>60.0338028169014</v>
      </c>
      <c r="E13" s="262">
        <v>138.888888888889</v>
      </c>
      <c r="F13" s="189">
        <v>235</v>
      </c>
      <c r="G13" s="192">
        <v>197</v>
      </c>
      <c r="H13" s="192">
        <v>38</v>
      </c>
      <c r="I13" s="193">
        <v>0.83829787234042596</v>
      </c>
      <c r="J13" s="189">
        <v>1660</v>
      </c>
      <c r="K13" s="189">
        <v>964</v>
      </c>
      <c r="L13" s="189">
        <v>174</v>
      </c>
      <c r="M13" s="194">
        <v>278.44175999999999</v>
      </c>
      <c r="N13" s="191">
        <v>93.473684210526301</v>
      </c>
      <c r="O13" s="195">
        <v>0.33570282062046403</v>
      </c>
      <c r="P13" s="196">
        <v>184.968075789474</v>
      </c>
      <c r="Q13" s="192">
        <v>90.689361702127698</v>
      </c>
      <c r="R13" s="192">
        <v>76.540243101465805</v>
      </c>
      <c r="S13" s="192">
        <v>591.01654846335703</v>
      </c>
      <c r="T13" s="197"/>
      <c r="U13" s="192">
        <v>200</v>
      </c>
      <c r="V13" s="197">
        <v>498.80768204054198</v>
      </c>
      <c r="W13" s="189"/>
    </row>
    <row r="14" spans="1:23">
      <c r="A14" s="88" t="s">
        <v>219</v>
      </c>
      <c r="B14" s="189">
        <v>27.2</v>
      </c>
      <c r="C14" s="190">
        <v>33.208320000000001</v>
      </c>
      <c r="D14" s="263">
        <v>94.0745609065156</v>
      </c>
      <c r="E14" s="262">
        <v>138.888888888889</v>
      </c>
      <c r="F14" s="189">
        <v>256</v>
      </c>
      <c r="G14" s="192">
        <v>193</v>
      </c>
      <c r="H14" s="192">
        <v>63</v>
      </c>
      <c r="I14" s="193">
        <v>0.75390625</v>
      </c>
      <c r="J14" s="189">
        <v>1660</v>
      </c>
      <c r="K14" s="189">
        <v>964</v>
      </c>
      <c r="L14" s="189">
        <v>174</v>
      </c>
      <c r="M14" s="194">
        <v>278.44175999999999</v>
      </c>
      <c r="N14" s="191">
        <v>93.544563380281701</v>
      </c>
      <c r="O14" s="195">
        <v>0.33595737715593299</v>
      </c>
      <c r="P14" s="196">
        <v>184.89719661971799</v>
      </c>
      <c r="Q14" s="192">
        <v>129.72</v>
      </c>
      <c r="R14" s="192">
        <v>119.264868890356</v>
      </c>
      <c r="S14" s="192">
        <v>542.53472222222194</v>
      </c>
      <c r="T14" s="197"/>
      <c r="U14" s="192">
        <v>191.40625</v>
      </c>
      <c r="V14" s="197">
        <v>498.80768204054198</v>
      </c>
      <c r="W14" s="189"/>
    </row>
    <row r="15" spans="1:23">
      <c r="A15" s="88" t="s">
        <v>235</v>
      </c>
      <c r="B15" s="198">
        <v>106.3</v>
      </c>
      <c r="C15" s="199">
        <v>111.5</v>
      </c>
      <c r="D15" s="200">
        <v>303</v>
      </c>
      <c r="E15" s="201">
        <v>397</v>
      </c>
      <c r="F15" s="202">
        <v>649</v>
      </c>
      <c r="G15" s="189"/>
      <c r="H15" s="189"/>
      <c r="I15" s="193"/>
      <c r="J15" s="198">
        <v>2410</v>
      </c>
      <c r="K15" s="198">
        <v>1742</v>
      </c>
      <c r="L15" s="198">
        <v>141</v>
      </c>
      <c r="M15" s="194">
        <v>591.94902000000002</v>
      </c>
      <c r="N15" s="191"/>
      <c r="O15" s="195"/>
      <c r="P15" s="195"/>
      <c r="Q15" s="202">
        <v>174</v>
      </c>
      <c r="R15" s="197">
        <v>188.36081526074699</v>
      </c>
      <c r="S15" s="192">
        <v>611.71032357472995</v>
      </c>
      <c r="T15" s="197"/>
      <c r="U15" s="192">
        <v>300.46224961479197</v>
      </c>
      <c r="V15" s="189"/>
      <c r="W15" s="189"/>
    </row>
    <row r="16" spans="1:23">
      <c r="A16" s="88" t="s">
        <v>237</v>
      </c>
      <c r="B16" s="198">
        <v>70.599999999999994</v>
      </c>
      <c r="C16" s="199">
        <v>76.599999999999994</v>
      </c>
      <c r="D16" s="201">
        <v>232</v>
      </c>
      <c r="E16" s="202">
        <v>274</v>
      </c>
      <c r="F16" s="198">
        <v>515.9</v>
      </c>
      <c r="G16" s="203"/>
      <c r="H16" s="203"/>
      <c r="I16" s="204"/>
      <c r="J16" s="198">
        <v>2410</v>
      </c>
      <c r="K16" s="198">
        <v>1742</v>
      </c>
      <c r="L16" s="198">
        <v>141</v>
      </c>
      <c r="M16" s="194">
        <v>591.94902000000002</v>
      </c>
      <c r="N16" s="191"/>
      <c r="O16" s="195"/>
      <c r="P16" s="195"/>
      <c r="Q16" s="192">
        <v>148.47838728435701</v>
      </c>
      <c r="R16" s="197">
        <v>129.40303541680001</v>
      </c>
      <c r="S16" s="192">
        <v>531.11068036441202</v>
      </c>
      <c r="T16" s="197"/>
      <c r="U16" s="192">
        <v>290.75402209730601</v>
      </c>
      <c r="V16" s="189"/>
      <c r="W16" s="189"/>
    </row>
    <row r="17" spans="1:23">
      <c r="A17" s="88" t="s">
        <v>241</v>
      </c>
      <c r="B17" s="198">
        <v>106.3</v>
      </c>
      <c r="C17" s="199">
        <v>111.5</v>
      </c>
      <c r="D17" s="201">
        <v>303</v>
      </c>
      <c r="E17" s="202">
        <v>586</v>
      </c>
      <c r="F17" s="202">
        <v>649</v>
      </c>
      <c r="G17" s="203"/>
      <c r="H17" s="203"/>
      <c r="I17" s="204"/>
      <c r="J17" s="198">
        <v>2410</v>
      </c>
      <c r="K17" s="198">
        <v>1742</v>
      </c>
      <c r="L17" s="198">
        <v>141</v>
      </c>
      <c r="M17" s="194">
        <v>591.94902000000002</v>
      </c>
      <c r="N17" s="191"/>
      <c r="O17" s="195"/>
      <c r="P17" s="195"/>
      <c r="Q17" s="202">
        <v>174</v>
      </c>
      <c r="R17" s="197">
        <v>188.36081526074699</v>
      </c>
      <c r="S17" s="192">
        <v>902.92758089368294</v>
      </c>
      <c r="T17" s="197"/>
      <c r="U17" s="192">
        <v>300.46224961479197</v>
      </c>
      <c r="V17" s="189"/>
      <c r="W17" s="189"/>
    </row>
    <row r="18" spans="1:23">
      <c r="A18" s="205" t="s">
        <v>245</v>
      </c>
      <c r="B18" s="206"/>
      <c r="C18" s="207">
        <v>82.56</v>
      </c>
      <c r="D18" s="208">
        <v>150</v>
      </c>
      <c r="E18" s="208">
        <v>390</v>
      </c>
      <c r="F18" s="209">
        <v>560</v>
      </c>
      <c r="G18" s="210">
        <v>446.27027027026998</v>
      </c>
      <c r="H18" s="210">
        <v>113.72972972973</v>
      </c>
      <c r="I18" s="211">
        <v>0.79691119691119705</v>
      </c>
      <c r="J18" s="264">
        <v>1990</v>
      </c>
      <c r="K18" s="264">
        <v>1308</v>
      </c>
      <c r="L18" s="209">
        <v>110</v>
      </c>
      <c r="M18" s="210">
        <v>286.32119999999998</v>
      </c>
      <c r="N18" s="212">
        <v>200.87591240875901</v>
      </c>
      <c r="O18" s="213">
        <v>0.70157540695121101</v>
      </c>
      <c r="P18" s="214">
        <v>85.445287591240898</v>
      </c>
      <c r="Q18" s="215">
        <v>147.42857142857099</v>
      </c>
      <c r="R18" s="210">
        <v>288.34749225694799</v>
      </c>
      <c r="S18" s="216">
        <v>696.42857142857099</v>
      </c>
      <c r="T18" s="217"/>
      <c r="U18" s="218">
        <v>267.857142857143</v>
      </c>
      <c r="V18" s="217">
        <v>1362.1066131323801</v>
      </c>
      <c r="W18" s="209"/>
    </row>
    <row r="19" spans="1:23">
      <c r="A19" s="111" t="s">
        <v>251</v>
      </c>
      <c r="B19" s="206"/>
      <c r="C19" s="207">
        <v>82.56</v>
      </c>
      <c r="D19" s="208">
        <v>150</v>
      </c>
      <c r="E19" s="208">
        <v>230</v>
      </c>
      <c r="F19" s="209">
        <v>558</v>
      </c>
      <c r="G19" s="210">
        <v>446.27027027026998</v>
      </c>
      <c r="H19" s="210">
        <v>111.72972972973</v>
      </c>
      <c r="I19" s="211">
        <v>0.79976750944492903</v>
      </c>
      <c r="J19" s="264">
        <v>1990</v>
      </c>
      <c r="K19" s="264">
        <v>1308</v>
      </c>
      <c r="L19" s="209">
        <v>110</v>
      </c>
      <c r="M19" s="210">
        <v>286.32119999999998</v>
      </c>
      <c r="N19" s="212">
        <v>200.87591240875901</v>
      </c>
      <c r="O19" s="213">
        <v>0.70157540695121101</v>
      </c>
      <c r="P19" s="214">
        <v>85.445287591240898</v>
      </c>
      <c r="Q19" s="215">
        <v>147.95698924731201</v>
      </c>
      <c r="R19" s="210">
        <v>288.34749225694799</v>
      </c>
      <c r="S19" s="216">
        <v>412.18637992831498</v>
      </c>
      <c r="T19" s="217"/>
      <c r="U19" s="218">
        <v>268.81720430107498</v>
      </c>
      <c r="V19" s="217">
        <v>803.29364364217497</v>
      </c>
      <c r="W19" s="209"/>
    </row>
    <row r="20" spans="1:23">
      <c r="A20" s="188" t="s">
        <v>254</v>
      </c>
      <c r="B20" s="226"/>
      <c r="C20" s="199">
        <v>61.056600000000003</v>
      </c>
      <c r="D20" s="226">
        <v>165</v>
      </c>
      <c r="E20" s="198">
        <v>241</v>
      </c>
      <c r="F20" s="198">
        <v>428</v>
      </c>
      <c r="G20" s="226">
        <v>301.60000000000002</v>
      </c>
      <c r="H20" s="226">
        <v>126.4</v>
      </c>
      <c r="I20" s="227">
        <v>0.70467289719626203</v>
      </c>
      <c r="J20" s="226">
        <v>1904.6</v>
      </c>
      <c r="K20" s="226">
        <v>1372</v>
      </c>
      <c r="L20" s="226">
        <v>284.39999999999998</v>
      </c>
      <c r="M20" s="194">
        <v>743.16882527999996</v>
      </c>
      <c r="N20" s="191">
        <v>144.51743999999999</v>
      </c>
      <c r="O20" s="195">
        <v>0.19446111715672501</v>
      </c>
      <c r="P20" s="196">
        <v>598.65138528</v>
      </c>
      <c r="Q20" s="194">
        <v>85</v>
      </c>
      <c r="R20" s="194">
        <v>82.157106061326004</v>
      </c>
      <c r="S20" s="228">
        <v>563.08411214953298</v>
      </c>
      <c r="T20" s="197"/>
      <c r="U20" s="192">
        <v>467.28971962616799</v>
      </c>
      <c r="V20" s="229">
        <v>324.28701501196502</v>
      </c>
      <c r="W20" s="226"/>
    </row>
    <row r="21" spans="1:23">
      <c r="A21" s="133" t="s">
        <v>258</v>
      </c>
      <c r="B21" s="219">
        <v>68</v>
      </c>
      <c r="C21" s="220">
        <v>75</v>
      </c>
      <c r="D21" s="219"/>
      <c r="E21" s="219"/>
      <c r="F21" s="219">
        <v>534</v>
      </c>
      <c r="G21" s="219"/>
      <c r="H21" s="219"/>
      <c r="I21" s="221"/>
      <c r="J21" s="219">
        <v>2340</v>
      </c>
      <c r="K21" s="219">
        <v>870</v>
      </c>
      <c r="L21" s="219">
        <v>210</v>
      </c>
      <c r="M21" s="222">
        <v>427.51799999999997</v>
      </c>
      <c r="N21" s="223"/>
      <c r="O21" s="224"/>
      <c r="P21" s="224"/>
      <c r="Q21" s="222">
        <v>140.44943820224699</v>
      </c>
      <c r="R21" s="222">
        <v>175.43120991396901</v>
      </c>
      <c r="S21" s="222"/>
      <c r="T21" s="222"/>
      <c r="U21" s="222"/>
      <c r="V21" s="219"/>
      <c r="W21" s="219"/>
    </row>
    <row r="22" spans="1:23">
      <c r="A22" s="133" t="s">
        <v>262</v>
      </c>
      <c r="B22" s="219">
        <v>68</v>
      </c>
      <c r="C22" s="220">
        <v>75</v>
      </c>
      <c r="D22" s="219"/>
      <c r="E22" s="219"/>
      <c r="F22" s="219">
        <v>534</v>
      </c>
      <c r="G22" s="219"/>
      <c r="H22" s="219"/>
      <c r="I22" s="221"/>
      <c r="J22" s="219">
        <v>2340</v>
      </c>
      <c r="K22" s="219">
        <v>870</v>
      </c>
      <c r="L22" s="219">
        <v>210</v>
      </c>
      <c r="M22" s="222">
        <v>427.51799999999997</v>
      </c>
      <c r="N22" s="223"/>
      <c r="O22" s="224"/>
      <c r="P22" s="224"/>
      <c r="Q22" s="222">
        <v>140.44943820224699</v>
      </c>
      <c r="R22" s="222">
        <v>175.43120991396901</v>
      </c>
      <c r="S22" s="222"/>
      <c r="T22" s="222"/>
      <c r="U22" s="222"/>
      <c r="V22" s="219"/>
      <c r="W22" s="219"/>
    </row>
    <row r="23" spans="1:23">
      <c r="A23" s="133" t="s">
        <v>264</v>
      </c>
      <c r="B23" s="219">
        <v>68</v>
      </c>
      <c r="C23" s="220">
        <v>75</v>
      </c>
      <c r="D23" s="219"/>
      <c r="E23" s="219"/>
      <c r="F23" s="219">
        <v>534</v>
      </c>
      <c r="G23" s="219"/>
      <c r="H23" s="219"/>
      <c r="I23" s="221"/>
      <c r="J23" s="219">
        <v>2340</v>
      </c>
      <c r="K23" s="219">
        <v>870</v>
      </c>
      <c r="L23" s="219">
        <v>210</v>
      </c>
      <c r="M23" s="222">
        <v>427.51799999999997</v>
      </c>
      <c r="N23" s="223"/>
      <c r="O23" s="224"/>
      <c r="P23" s="224"/>
      <c r="Q23" s="222">
        <v>140.44943820224699</v>
      </c>
      <c r="R23" s="222">
        <v>175.43120991396901</v>
      </c>
      <c r="S23" s="222"/>
      <c r="T23" s="222"/>
      <c r="U23" s="222"/>
      <c r="V23" s="219"/>
      <c r="W23" s="219"/>
    </row>
    <row r="24" spans="1:23">
      <c r="A24" s="133" t="s">
        <v>266</v>
      </c>
      <c r="B24" s="219">
        <v>68</v>
      </c>
      <c r="C24" s="220">
        <v>75</v>
      </c>
      <c r="D24" s="219"/>
      <c r="E24" s="219"/>
      <c r="F24" s="219">
        <v>534</v>
      </c>
      <c r="G24" s="219"/>
      <c r="H24" s="219"/>
      <c r="I24" s="221"/>
      <c r="J24" s="219">
        <v>2340</v>
      </c>
      <c r="K24" s="219">
        <v>870</v>
      </c>
      <c r="L24" s="219">
        <v>210</v>
      </c>
      <c r="M24" s="222">
        <v>427.51799999999997</v>
      </c>
      <c r="N24" s="223"/>
      <c r="O24" s="224"/>
      <c r="P24" s="224"/>
      <c r="Q24" s="222">
        <v>140.44943820224699</v>
      </c>
      <c r="R24" s="222">
        <v>175.43120991396901</v>
      </c>
      <c r="S24" s="222"/>
      <c r="T24" s="222"/>
      <c r="U24" s="222"/>
      <c r="V24" s="219"/>
      <c r="W24" s="219"/>
    </row>
    <row r="25" spans="1:23">
      <c r="A25" s="188" t="s">
        <v>269</v>
      </c>
      <c r="B25" s="189">
        <v>84.7</v>
      </c>
      <c r="C25" s="190">
        <v>90.2</v>
      </c>
      <c r="D25" s="263">
        <v>231.99588477366299</v>
      </c>
      <c r="E25" s="265">
        <v>326.66666666666703</v>
      </c>
      <c r="F25" s="189">
        <v>610</v>
      </c>
      <c r="G25" s="189">
        <v>354</v>
      </c>
      <c r="H25" s="189">
        <v>256</v>
      </c>
      <c r="I25" s="193">
        <v>0.58032786885245902</v>
      </c>
      <c r="J25" s="266">
        <v>2280</v>
      </c>
      <c r="K25" s="266">
        <v>1474</v>
      </c>
      <c r="L25" s="266">
        <v>300</v>
      </c>
      <c r="M25" s="262">
        <v>1008.216</v>
      </c>
      <c r="N25" s="191"/>
      <c r="O25" s="195"/>
      <c r="P25" s="195"/>
      <c r="Q25" s="192">
        <v>147.86885245901601</v>
      </c>
      <c r="R25" s="267">
        <v>89.464955922143702</v>
      </c>
      <c r="S25" s="192">
        <v>535.51912568306</v>
      </c>
      <c r="T25" s="197"/>
      <c r="U25" s="192"/>
      <c r="V25" s="267">
        <v>324.004644507394</v>
      </c>
      <c r="W25" s="189"/>
    </row>
    <row r="26" spans="1:23">
      <c r="A26" s="230" t="s">
        <v>272</v>
      </c>
      <c r="B26" s="219"/>
      <c r="C26" s="220">
        <v>5.8879999999999999</v>
      </c>
      <c r="D26" s="268">
        <v>230</v>
      </c>
      <c r="E26" s="268">
        <v>38.304000000000002</v>
      </c>
      <c r="F26" s="219">
        <v>46.7</v>
      </c>
      <c r="G26" s="219"/>
      <c r="H26" s="219"/>
      <c r="I26" s="221"/>
      <c r="J26" s="219">
        <v>622</v>
      </c>
      <c r="K26" s="219">
        <v>197</v>
      </c>
      <c r="L26" s="219">
        <v>355</v>
      </c>
      <c r="M26" s="222">
        <v>43.499569999999999</v>
      </c>
      <c r="N26" s="223"/>
      <c r="O26" s="224"/>
      <c r="P26" s="224"/>
      <c r="Q26" s="222">
        <v>126.081370449679</v>
      </c>
      <c r="R26" s="222">
        <v>135.35765985732701</v>
      </c>
      <c r="S26" s="222">
        <v>820.21413276231306</v>
      </c>
      <c r="T26" s="222"/>
      <c r="U26" s="222"/>
      <c r="V26" s="222">
        <v>880.56042852837402</v>
      </c>
      <c r="W26" s="222"/>
    </row>
    <row r="27" spans="1:23">
      <c r="A27" s="188" t="s">
        <v>275</v>
      </c>
      <c r="B27" s="198">
        <v>99</v>
      </c>
      <c r="C27" s="198">
        <v>107.8</v>
      </c>
      <c r="D27" s="262">
        <v>136.802030456853</v>
      </c>
      <c r="E27" s="262">
        <v>157.894736842105</v>
      </c>
      <c r="F27" s="198">
        <v>495</v>
      </c>
      <c r="G27" s="262">
        <v>326.66666666666703</v>
      </c>
      <c r="H27" s="262">
        <v>168.333333333333</v>
      </c>
      <c r="I27" s="269">
        <v>0.65993265993266004</v>
      </c>
      <c r="J27" s="189">
        <v>1985</v>
      </c>
      <c r="K27" s="189">
        <v>1270</v>
      </c>
      <c r="L27" s="189">
        <v>100</v>
      </c>
      <c r="M27" s="194">
        <v>272.09500000000003</v>
      </c>
      <c r="N27" s="191"/>
      <c r="O27" s="195"/>
      <c r="P27" s="195"/>
      <c r="Q27" s="192">
        <v>217.777777777778</v>
      </c>
      <c r="R27" s="192">
        <v>396.18515591980702</v>
      </c>
      <c r="S27" s="192">
        <v>318.97926634768697</v>
      </c>
      <c r="T27" s="197"/>
      <c r="U27" s="194">
        <v>303.030303030303</v>
      </c>
      <c r="V27" s="192">
        <v>580.29268028484603</v>
      </c>
      <c r="W27" s="189"/>
    </row>
    <row r="28" spans="1:23">
      <c r="A28" s="133" t="s">
        <v>279</v>
      </c>
      <c r="B28" s="219">
        <v>95</v>
      </c>
      <c r="C28" s="220">
        <v>100</v>
      </c>
      <c r="D28" s="219"/>
      <c r="E28" s="219">
        <v>320</v>
      </c>
      <c r="F28" s="219">
        <v>555</v>
      </c>
      <c r="G28" s="219"/>
      <c r="H28" s="219"/>
      <c r="I28" s="221"/>
      <c r="J28" s="219">
        <v>2062</v>
      </c>
      <c r="K28" s="219">
        <v>1539</v>
      </c>
      <c r="L28" s="219">
        <v>185.6</v>
      </c>
      <c r="M28" s="222">
        <v>588.98638080000001</v>
      </c>
      <c r="N28" s="223"/>
      <c r="O28" s="224"/>
      <c r="P28" s="224"/>
      <c r="Q28" s="222">
        <v>180.18018018018</v>
      </c>
      <c r="R28" s="222">
        <v>169.783212753024</v>
      </c>
      <c r="S28" s="222">
        <v>576.57657657657705</v>
      </c>
      <c r="T28" s="222"/>
      <c r="U28" s="222"/>
      <c r="V28" s="222">
        <v>543.30628080967699</v>
      </c>
      <c r="W28" s="219"/>
    </row>
    <row r="29" spans="1:23">
      <c r="A29" s="133" t="s">
        <v>281</v>
      </c>
      <c r="B29" s="219">
        <v>95</v>
      </c>
      <c r="C29" s="220">
        <v>100</v>
      </c>
      <c r="D29" s="219"/>
      <c r="E29" s="219">
        <v>480</v>
      </c>
      <c r="F29" s="219">
        <v>555</v>
      </c>
      <c r="G29" s="219"/>
      <c r="H29" s="219"/>
      <c r="I29" s="221"/>
      <c r="J29" s="219">
        <v>2062</v>
      </c>
      <c r="K29" s="219">
        <v>1539</v>
      </c>
      <c r="L29" s="219">
        <v>185.6</v>
      </c>
      <c r="M29" s="222">
        <v>588.98638080000001</v>
      </c>
      <c r="N29" s="223"/>
      <c r="O29" s="224"/>
      <c r="P29" s="224"/>
      <c r="Q29" s="222">
        <v>180.18018018018</v>
      </c>
      <c r="R29" s="222">
        <v>169.783212753024</v>
      </c>
      <c r="S29" s="222">
        <v>864.86486486486501</v>
      </c>
      <c r="T29" s="222"/>
      <c r="U29" s="222"/>
      <c r="V29" s="222">
        <v>814.95942121451503</v>
      </c>
      <c r="W29" s="219"/>
    </row>
    <row r="30" spans="1:23">
      <c r="A30" s="133" t="s">
        <v>283</v>
      </c>
      <c r="B30" s="219">
        <v>136.69999999999999</v>
      </c>
      <c r="C30" s="220">
        <v>148.26240000000001</v>
      </c>
      <c r="D30" s="270">
        <v>440</v>
      </c>
      <c r="E30" s="219">
        <v>360</v>
      </c>
      <c r="F30" s="219">
        <v>575</v>
      </c>
      <c r="G30" s="222">
        <v>415.87200000000001</v>
      </c>
      <c r="H30" s="222">
        <v>159.12799999999999</v>
      </c>
      <c r="I30" s="221">
        <v>0.72325565217391297</v>
      </c>
      <c r="J30" s="219">
        <v>2062</v>
      </c>
      <c r="K30" s="219">
        <v>1539</v>
      </c>
      <c r="L30" s="219">
        <v>185.6</v>
      </c>
      <c r="M30" s="222">
        <v>588.98638080000001</v>
      </c>
      <c r="N30" s="223">
        <v>191.306322580645</v>
      </c>
      <c r="O30" s="224">
        <v>0.32480602067708297</v>
      </c>
      <c r="P30" s="225">
        <v>397.68005821935498</v>
      </c>
      <c r="Q30" s="222">
        <v>257.84765217391299</v>
      </c>
      <c r="R30" s="222">
        <v>251.72466602473901</v>
      </c>
      <c r="S30" s="222">
        <v>626.08695652173901</v>
      </c>
      <c r="T30" s="222"/>
      <c r="U30" s="222"/>
      <c r="V30" s="222">
        <v>611.21956591088599</v>
      </c>
      <c r="W30" s="219"/>
    </row>
    <row r="31" spans="1:23">
      <c r="A31" s="133" t="s">
        <v>286</v>
      </c>
      <c r="B31" s="219"/>
      <c r="C31" s="220">
        <v>70</v>
      </c>
      <c r="D31" s="219"/>
      <c r="E31" s="219">
        <v>480</v>
      </c>
      <c r="F31" s="219">
        <v>525</v>
      </c>
      <c r="G31" s="219"/>
      <c r="H31" s="219"/>
      <c r="I31" s="221"/>
      <c r="J31" s="219">
        <v>2062</v>
      </c>
      <c r="K31" s="219">
        <v>1539</v>
      </c>
      <c r="L31" s="219">
        <v>185.6</v>
      </c>
      <c r="M31" s="222">
        <v>588.98638080000001</v>
      </c>
      <c r="N31" s="223"/>
      <c r="O31" s="224"/>
      <c r="P31" s="224"/>
      <c r="Q31" s="222">
        <v>133.333333333333</v>
      </c>
      <c r="R31" s="222">
        <v>118.848248927117</v>
      </c>
      <c r="S31" s="222">
        <v>914.28571428571399</v>
      </c>
      <c r="T31" s="222"/>
      <c r="U31" s="222"/>
      <c r="V31" s="222">
        <v>814.95942121451503</v>
      </c>
      <c r="W31" s="219"/>
    </row>
    <row r="32" spans="1:23">
      <c r="A32" s="133" t="s">
        <v>286</v>
      </c>
      <c r="B32" s="219">
        <v>70.5</v>
      </c>
      <c r="C32" s="220">
        <v>75</v>
      </c>
      <c r="D32" s="219"/>
      <c r="E32" s="219">
        <v>480</v>
      </c>
      <c r="F32" s="219">
        <v>535</v>
      </c>
      <c r="G32" s="219"/>
      <c r="H32" s="219"/>
      <c r="I32" s="221"/>
      <c r="J32" s="219">
        <v>2062</v>
      </c>
      <c r="K32" s="219">
        <v>1539</v>
      </c>
      <c r="L32" s="219">
        <v>185.6</v>
      </c>
      <c r="M32" s="222">
        <v>588.98638080000001</v>
      </c>
      <c r="N32" s="223"/>
      <c r="O32" s="224"/>
      <c r="P32" s="224"/>
      <c r="Q32" s="222">
        <v>140.186915887851</v>
      </c>
      <c r="R32" s="222">
        <v>127.337409564768</v>
      </c>
      <c r="S32" s="222">
        <v>897.19626168224295</v>
      </c>
      <c r="T32" s="222"/>
      <c r="U32" s="222"/>
      <c r="V32" s="222">
        <v>814.95942121451503</v>
      </c>
      <c r="W32" s="219"/>
    </row>
    <row r="33" spans="1:23">
      <c r="A33" s="133" t="s">
        <v>286</v>
      </c>
      <c r="B33" s="219">
        <v>95</v>
      </c>
      <c r="C33" s="220">
        <v>100</v>
      </c>
      <c r="D33" s="219"/>
      <c r="E33" s="219">
        <v>480</v>
      </c>
      <c r="F33" s="219">
        <v>555</v>
      </c>
      <c r="G33" s="219"/>
      <c r="H33" s="219"/>
      <c r="I33" s="221"/>
      <c r="J33" s="219">
        <v>2062</v>
      </c>
      <c r="K33" s="219">
        <v>1539</v>
      </c>
      <c r="L33" s="219">
        <v>185.6</v>
      </c>
      <c r="M33" s="222">
        <v>588.98638080000001</v>
      </c>
      <c r="N33" s="223"/>
      <c r="O33" s="224"/>
      <c r="P33" s="224"/>
      <c r="Q33" s="222">
        <v>180.18018018018</v>
      </c>
      <c r="R33" s="222">
        <v>169.783212753024</v>
      </c>
      <c r="S33" s="222">
        <v>864.86486486486501</v>
      </c>
      <c r="T33" s="222"/>
      <c r="U33" s="222"/>
      <c r="V33" s="222">
        <v>814.95942121451503</v>
      </c>
      <c r="W33" s="219"/>
    </row>
    <row r="34" spans="1:23">
      <c r="A34" s="133" t="s">
        <v>290</v>
      </c>
      <c r="B34" s="219"/>
      <c r="C34" s="220">
        <v>70</v>
      </c>
      <c r="D34" s="219">
        <v>200</v>
      </c>
      <c r="E34" s="223">
        <v>400</v>
      </c>
      <c r="F34" s="222">
        <v>525</v>
      </c>
      <c r="G34" s="219"/>
      <c r="H34" s="219"/>
      <c r="I34" s="221"/>
      <c r="J34" s="219">
        <v>2062</v>
      </c>
      <c r="K34" s="219">
        <v>1539</v>
      </c>
      <c r="L34" s="219">
        <v>136</v>
      </c>
      <c r="M34" s="222">
        <v>431.58484800000002</v>
      </c>
      <c r="N34" s="223"/>
      <c r="O34" s="224"/>
      <c r="P34" s="224"/>
      <c r="Q34" s="222">
        <v>133.333333333333</v>
      </c>
      <c r="R34" s="222">
        <v>162.19290441818299</v>
      </c>
      <c r="S34" s="222">
        <v>761.90476190476204</v>
      </c>
      <c r="T34" s="222">
        <v>211.64021164021199</v>
      </c>
      <c r="U34" s="222"/>
      <c r="V34" s="222">
        <v>926.81659667533097</v>
      </c>
      <c r="W34" s="222">
        <v>257.449054632036</v>
      </c>
    </row>
    <row r="35" spans="1:23">
      <c r="A35" s="133" t="s">
        <v>290</v>
      </c>
      <c r="B35" s="219">
        <v>70.5</v>
      </c>
      <c r="C35" s="220">
        <v>75</v>
      </c>
      <c r="D35" s="219">
        <v>195</v>
      </c>
      <c r="E35" s="223">
        <v>400</v>
      </c>
      <c r="F35" s="219">
        <v>535</v>
      </c>
      <c r="G35" s="219"/>
      <c r="H35" s="219"/>
      <c r="I35" s="221"/>
      <c r="J35" s="219">
        <v>2062</v>
      </c>
      <c r="K35" s="219">
        <v>1539</v>
      </c>
      <c r="L35" s="219">
        <v>185.6</v>
      </c>
      <c r="M35" s="222">
        <v>588.98638080000001</v>
      </c>
      <c r="N35" s="223"/>
      <c r="O35" s="224"/>
      <c r="P35" s="224"/>
      <c r="Q35" s="222">
        <v>140.186915887851</v>
      </c>
      <c r="R35" s="222">
        <v>127.337409564768</v>
      </c>
      <c r="S35" s="222">
        <v>747.66355140186897</v>
      </c>
      <c r="T35" s="222">
        <v>207.68431983385301</v>
      </c>
      <c r="U35" s="222">
        <v>261.682242990654</v>
      </c>
      <c r="V35" s="222">
        <v>679.13285101209601</v>
      </c>
      <c r="W35" s="222">
        <v>188.64801417002701</v>
      </c>
    </row>
    <row r="36" spans="1:23">
      <c r="A36" s="133" t="s">
        <v>290</v>
      </c>
      <c r="B36" s="219">
        <v>70</v>
      </c>
      <c r="C36" s="220">
        <v>75</v>
      </c>
      <c r="D36" s="219">
        <v>204.5</v>
      </c>
      <c r="E36" s="223">
        <v>400</v>
      </c>
      <c r="F36" s="222">
        <v>535</v>
      </c>
      <c r="G36" s="219"/>
      <c r="H36" s="219"/>
      <c r="I36" s="221"/>
      <c r="J36" s="219">
        <v>2062</v>
      </c>
      <c r="K36" s="219">
        <v>1539</v>
      </c>
      <c r="L36" s="219">
        <v>185.6</v>
      </c>
      <c r="M36" s="222">
        <v>588.98638080000001</v>
      </c>
      <c r="N36" s="223"/>
      <c r="O36" s="224"/>
      <c r="P36" s="224"/>
      <c r="Q36" s="222">
        <v>140.186915887851</v>
      </c>
      <c r="R36" s="222">
        <v>127.337409564768</v>
      </c>
      <c r="S36" s="222">
        <v>747.66355140186897</v>
      </c>
      <c r="T36" s="222">
        <v>207.68431983385301</v>
      </c>
      <c r="U36" s="222">
        <v>242.990654205608</v>
      </c>
      <c r="V36" s="222">
        <v>679.13285101209601</v>
      </c>
      <c r="W36" s="222">
        <v>188.64801417002701</v>
      </c>
    </row>
    <row r="37" spans="1:23">
      <c r="A37" s="133" t="s">
        <v>290</v>
      </c>
      <c r="B37" s="219"/>
      <c r="C37" s="220">
        <v>100</v>
      </c>
      <c r="D37" s="219">
        <v>280</v>
      </c>
      <c r="E37" s="223">
        <v>400</v>
      </c>
      <c r="F37" s="222">
        <v>555</v>
      </c>
      <c r="G37" s="219"/>
      <c r="H37" s="219"/>
      <c r="I37" s="221"/>
      <c r="J37" s="219">
        <v>2062</v>
      </c>
      <c r="K37" s="219">
        <v>1539</v>
      </c>
      <c r="L37" s="219">
        <v>185.6</v>
      </c>
      <c r="M37" s="222">
        <v>588.98638080000001</v>
      </c>
      <c r="N37" s="223"/>
      <c r="O37" s="224"/>
      <c r="P37" s="224"/>
      <c r="Q37" s="222">
        <v>180.18018018018</v>
      </c>
      <c r="R37" s="222">
        <v>169.783212753024</v>
      </c>
      <c r="S37" s="222">
        <v>720.72072072072103</v>
      </c>
      <c r="T37" s="222">
        <v>200.20020020019999</v>
      </c>
      <c r="U37" s="222"/>
      <c r="V37" s="222">
        <v>679.13285101209601</v>
      </c>
      <c r="W37" s="222">
        <v>188.64801417002701</v>
      </c>
    </row>
    <row r="38" spans="1:23">
      <c r="A38" s="133" t="s">
        <v>290</v>
      </c>
      <c r="B38" s="219"/>
      <c r="C38" s="220">
        <v>100</v>
      </c>
      <c r="D38" s="219">
        <v>280</v>
      </c>
      <c r="E38" s="223">
        <v>400</v>
      </c>
      <c r="F38" s="222">
        <v>555</v>
      </c>
      <c r="G38" s="219"/>
      <c r="H38" s="219"/>
      <c r="I38" s="221"/>
      <c r="J38" s="219">
        <v>2062</v>
      </c>
      <c r="K38" s="219">
        <v>1539</v>
      </c>
      <c r="L38" s="219">
        <v>185.6</v>
      </c>
      <c r="M38" s="222">
        <v>588.98638080000001</v>
      </c>
      <c r="N38" s="223"/>
      <c r="O38" s="224"/>
      <c r="P38" s="224"/>
      <c r="Q38" s="222">
        <v>180.18018018018</v>
      </c>
      <c r="R38" s="222">
        <v>169.783212753024</v>
      </c>
      <c r="S38" s="222">
        <v>720.72072072072103</v>
      </c>
      <c r="T38" s="222">
        <v>200.20020020019999</v>
      </c>
      <c r="U38" s="222"/>
      <c r="V38" s="222">
        <v>679.13285101209601</v>
      </c>
      <c r="W38" s="222">
        <v>188.64801417002701</v>
      </c>
    </row>
    <row r="39" spans="1:23">
      <c r="A39" s="133" t="s">
        <v>290</v>
      </c>
      <c r="B39" s="219"/>
      <c r="C39" s="220">
        <v>150</v>
      </c>
      <c r="D39" s="219">
        <v>446</v>
      </c>
      <c r="E39" s="223">
        <v>400</v>
      </c>
      <c r="F39" s="222">
        <v>575</v>
      </c>
      <c r="G39" s="222">
        <v>388.37333333333299</v>
      </c>
      <c r="H39" s="222">
        <v>186.62666666666701</v>
      </c>
      <c r="I39" s="221">
        <v>0.67543188405797105</v>
      </c>
      <c r="J39" s="219">
        <v>2062</v>
      </c>
      <c r="K39" s="219">
        <v>1539</v>
      </c>
      <c r="L39" s="219">
        <v>185.6</v>
      </c>
      <c r="M39" s="222">
        <v>588.98638080000001</v>
      </c>
      <c r="N39" s="223"/>
      <c r="O39" s="224"/>
      <c r="P39" s="224"/>
      <c r="Q39" s="222">
        <v>260.86956521739103</v>
      </c>
      <c r="R39" s="222">
        <v>254.67481912953599</v>
      </c>
      <c r="S39" s="222">
        <v>695.65217391304395</v>
      </c>
      <c r="T39" s="222">
        <v>193.23671497584499</v>
      </c>
      <c r="U39" s="222"/>
      <c r="V39" s="222">
        <v>679.13285101209601</v>
      </c>
      <c r="W39" s="222">
        <v>188.64801417002701</v>
      </c>
    </row>
    <row r="40" spans="1:23">
      <c r="A40" s="133" t="s">
        <v>298</v>
      </c>
      <c r="B40" s="219">
        <v>70.5</v>
      </c>
      <c r="C40" s="220">
        <v>75</v>
      </c>
      <c r="D40" s="219"/>
      <c r="E40" s="219">
        <v>480</v>
      </c>
      <c r="F40" s="219">
        <v>535</v>
      </c>
      <c r="G40" s="219"/>
      <c r="H40" s="219"/>
      <c r="I40" s="221"/>
      <c r="J40" s="219">
        <v>2062</v>
      </c>
      <c r="K40" s="219">
        <v>1539</v>
      </c>
      <c r="L40" s="219">
        <v>185.6</v>
      </c>
      <c r="M40" s="222">
        <v>588.98638080000001</v>
      </c>
      <c r="N40" s="223"/>
      <c r="O40" s="224"/>
      <c r="P40" s="224"/>
      <c r="Q40" s="222">
        <v>140.186915887851</v>
      </c>
      <c r="R40" s="222">
        <v>127.337409564768</v>
      </c>
      <c r="S40" s="222">
        <v>897.19626168224295</v>
      </c>
      <c r="T40" s="222"/>
      <c r="U40" s="222"/>
      <c r="V40" s="222">
        <v>814.95942121451503</v>
      </c>
      <c r="W40" s="219"/>
    </row>
    <row r="41" spans="1:23">
      <c r="A41" s="133" t="s">
        <v>298</v>
      </c>
      <c r="B41" s="219">
        <v>95</v>
      </c>
      <c r="C41" s="220">
        <v>100</v>
      </c>
      <c r="D41" s="219"/>
      <c r="E41" s="219">
        <v>480</v>
      </c>
      <c r="F41" s="219">
        <v>555</v>
      </c>
      <c r="G41" s="219"/>
      <c r="H41" s="219"/>
      <c r="I41" s="221"/>
      <c r="J41" s="219">
        <v>2062</v>
      </c>
      <c r="K41" s="219">
        <v>1539</v>
      </c>
      <c r="L41" s="219">
        <v>185.6</v>
      </c>
      <c r="M41" s="222">
        <v>588.98638080000001</v>
      </c>
      <c r="N41" s="223"/>
      <c r="O41" s="224"/>
      <c r="P41" s="224"/>
      <c r="Q41" s="222">
        <v>180.18018018018</v>
      </c>
      <c r="R41" s="222">
        <v>169.783212753024</v>
      </c>
      <c r="S41" s="222">
        <v>864.86486486486501</v>
      </c>
      <c r="T41" s="222"/>
      <c r="U41" s="222">
        <v>234.23423423423401</v>
      </c>
      <c r="V41" s="222">
        <v>814.95942121451503</v>
      </c>
      <c r="W41" s="219"/>
    </row>
    <row r="42" spans="1:23">
      <c r="A42" s="133" t="s">
        <v>303</v>
      </c>
      <c r="B42" s="219">
        <v>36</v>
      </c>
      <c r="C42" s="220">
        <v>39.46</v>
      </c>
      <c r="D42" s="219">
        <v>112.6</v>
      </c>
      <c r="E42" s="223">
        <v>122.222222222222</v>
      </c>
      <c r="F42" s="219">
        <v>303</v>
      </c>
      <c r="G42" s="219">
        <v>175.488</v>
      </c>
      <c r="H42" s="219">
        <v>127.512</v>
      </c>
      <c r="I42" s="221">
        <v>0.57916831683168302</v>
      </c>
      <c r="J42" s="219">
        <v>1547</v>
      </c>
      <c r="K42" s="219">
        <v>1188</v>
      </c>
      <c r="L42" s="219">
        <v>264</v>
      </c>
      <c r="M42" s="222">
        <v>485.18870399999997</v>
      </c>
      <c r="N42" s="223">
        <v>85.7826086956522</v>
      </c>
      <c r="O42" s="224">
        <v>0.176802567719409</v>
      </c>
      <c r="P42" s="225">
        <v>399.40609530434801</v>
      </c>
      <c r="Q42" s="222">
        <v>130.23102310230999</v>
      </c>
      <c r="R42" s="222">
        <v>81.329181150927994</v>
      </c>
      <c r="S42" s="222">
        <v>403.37367070040301</v>
      </c>
      <c r="T42" s="222"/>
      <c r="U42" s="222">
        <v>151.815181518152</v>
      </c>
      <c r="V42" s="222">
        <v>251.90656998935901</v>
      </c>
      <c r="W42" s="219"/>
    </row>
    <row r="43" spans="1:23">
      <c r="A43" s="133" t="s">
        <v>309</v>
      </c>
      <c r="B43" s="219">
        <v>63</v>
      </c>
      <c r="C43" s="220">
        <v>66</v>
      </c>
      <c r="D43" s="223">
        <v>186.96883852691201</v>
      </c>
      <c r="E43" s="223">
        <v>179.86888888888899</v>
      </c>
      <c r="F43" s="219">
        <v>450.7</v>
      </c>
      <c r="G43" s="219"/>
      <c r="H43" s="219"/>
      <c r="I43" s="221"/>
      <c r="J43" s="219">
        <v>2099.4</v>
      </c>
      <c r="K43" s="219">
        <v>1456</v>
      </c>
      <c r="L43" s="219">
        <v>384.6</v>
      </c>
      <c r="M43" s="222">
        <v>1175.61697344</v>
      </c>
      <c r="N43" s="223"/>
      <c r="O43" s="224"/>
      <c r="P43" s="224"/>
      <c r="Q43" s="223">
        <v>145.1</v>
      </c>
      <c r="R43" s="222">
        <v>56.140734177115398</v>
      </c>
      <c r="S43" s="222">
        <v>399.08783867071003</v>
      </c>
      <c r="T43" s="222"/>
      <c r="U43" s="222">
        <v>288.44020412691401</v>
      </c>
      <c r="V43" s="222">
        <v>152.99956784612499</v>
      </c>
      <c r="W43" s="219"/>
    </row>
    <row r="44" spans="1:23">
      <c r="A44" s="133" t="s">
        <v>311</v>
      </c>
      <c r="B44" s="219">
        <v>87</v>
      </c>
      <c r="C44" s="220">
        <v>91</v>
      </c>
      <c r="D44" s="223">
        <v>258</v>
      </c>
      <c r="E44" s="223">
        <v>200.59111111111099</v>
      </c>
      <c r="F44" s="219">
        <v>578</v>
      </c>
      <c r="G44" s="219"/>
      <c r="H44" s="219"/>
      <c r="I44" s="221"/>
      <c r="J44" s="219">
        <v>2099.4</v>
      </c>
      <c r="K44" s="219">
        <v>1456</v>
      </c>
      <c r="L44" s="219">
        <v>384.6</v>
      </c>
      <c r="M44" s="222">
        <v>1175.61697344</v>
      </c>
      <c r="N44" s="223"/>
      <c r="O44" s="224"/>
      <c r="P44" s="224"/>
      <c r="Q44" s="223">
        <v>156.4</v>
      </c>
      <c r="R44" s="222">
        <v>77.406163789659104</v>
      </c>
      <c r="S44" s="222">
        <v>347.04344482891202</v>
      </c>
      <c r="T44" s="222"/>
      <c r="U44" s="222">
        <v>224.91349480968901</v>
      </c>
      <c r="V44" s="222">
        <v>170.62624616941099</v>
      </c>
      <c r="W44" s="219"/>
    </row>
    <row r="45" spans="1:23">
      <c r="A45" s="133" t="s">
        <v>313</v>
      </c>
      <c r="B45" s="219">
        <v>87</v>
      </c>
      <c r="C45" s="220">
        <v>91</v>
      </c>
      <c r="D45" s="223">
        <v>258</v>
      </c>
      <c r="E45" s="223">
        <v>250</v>
      </c>
      <c r="F45" s="219">
        <v>578</v>
      </c>
      <c r="G45" s="219"/>
      <c r="H45" s="219"/>
      <c r="I45" s="221"/>
      <c r="J45" s="219">
        <v>2099.4</v>
      </c>
      <c r="K45" s="219">
        <v>1456</v>
      </c>
      <c r="L45" s="219">
        <v>384.6</v>
      </c>
      <c r="M45" s="222">
        <v>1175.61697344</v>
      </c>
      <c r="N45" s="223"/>
      <c r="O45" s="224"/>
      <c r="P45" s="224"/>
      <c r="Q45" s="223">
        <v>156.4</v>
      </c>
      <c r="R45" s="222">
        <v>77.406163789659104</v>
      </c>
      <c r="S45" s="222">
        <v>432.52595155709298</v>
      </c>
      <c r="T45" s="222"/>
      <c r="U45" s="222">
        <v>224.91349480968901</v>
      </c>
      <c r="V45" s="222">
        <v>212.65429612543701</v>
      </c>
      <c r="W45" s="219"/>
    </row>
    <row r="46" spans="1:23">
      <c r="A46" s="133" t="s">
        <v>315</v>
      </c>
      <c r="B46" s="219">
        <v>87</v>
      </c>
      <c r="C46" s="220">
        <v>91</v>
      </c>
      <c r="D46" s="223">
        <v>258</v>
      </c>
      <c r="E46" s="223">
        <v>322.222222222222</v>
      </c>
      <c r="F46" s="219">
        <v>578</v>
      </c>
      <c r="G46" s="219"/>
      <c r="H46" s="219"/>
      <c r="I46" s="221"/>
      <c r="J46" s="219">
        <v>2099.4</v>
      </c>
      <c r="K46" s="219">
        <v>1456</v>
      </c>
      <c r="L46" s="219">
        <v>384.6</v>
      </c>
      <c r="M46" s="222">
        <v>1175.61697344</v>
      </c>
      <c r="N46" s="223"/>
      <c r="O46" s="224"/>
      <c r="P46" s="224"/>
      <c r="Q46" s="223">
        <v>156.4</v>
      </c>
      <c r="R46" s="222">
        <v>77.406163789659104</v>
      </c>
      <c r="S46" s="222">
        <v>557.47789311803194</v>
      </c>
      <c r="T46" s="222"/>
      <c r="U46" s="222">
        <v>224.91349480968901</v>
      </c>
      <c r="V46" s="222">
        <v>274.08775945056402</v>
      </c>
      <c r="W46" s="219"/>
    </row>
    <row r="47" spans="1:23">
      <c r="A47" s="205" t="s">
        <v>318</v>
      </c>
      <c r="B47" s="231"/>
      <c r="C47" s="207">
        <v>67.62</v>
      </c>
      <c r="D47" s="232">
        <v>175</v>
      </c>
      <c r="E47" s="208">
        <v>468</v>
      </c>
      <c r="F47" s="233"/>
      <c r="G47" s="233"/>
      <c r="H47" s="233"/>
      <c r="I47" s="234"/>
      <c r="J47" s="208">
        <v>1380.36</v>
      </c>
      <c r="K47" s="208">
        <v>1347.76</v>
      </c>
      <c r="L47" s="208">
        <v>146.41</v>
      </c>
      <c r="M47" s="210">
        <v>272.38028460297602</v>
      </c>
      <c r="N47" s="212"/>
      <c r="O47" s="213"/>
      <c r="P47" s="213"/>
      <c r="Q47" s="235"/>
      <c r="R47" s="210">
        <v>248.25585338734601</v>
      </c>
      <c r="S47" s="215"/>
      <c r="T47" s="217"/>
      <c r="U47" s="218"/>
      <c r="V47" s="210">
        <v>1718.18603054241</v>
      </c>
      <c r="W47" s="235"/>
    </row>
    <row r="48" spans="1:23">
      <c r="A48" s="236" t="s">
        <v>322</v>
      </c>
      <c r="B48" s="237">
        <v>135</v>
      </c>
      <c r="C48" s="238">
        <v>141.1344</v>
      </c>
      <c r="D48" s="239">
        <v>360</v>
      </c>
      <c r="E48" s="271">
        <v>690</v>
      </c>
      <c r="F48" s="240">
        <v>796</v>
      </c>
      <c r="G48" s="237">
        <v>540.43200000000002</v>
      </c>
      <c r="H48" s="237">
        <v>255.56800000000001</v>
      </c>
      <c r="I48" s="241">
        <v>0.678934673366834</v>
      </c>
      <c r="J48" s="237">
        <v>2155</v>
      </c>
      <c r="K48" s="237">
        <v>1355</v>
      </c>
      <c r="L48" s="237">
        <v>225</v>
      </c>
      <c r="M48" s="239">
        <v>562</v>
      </c>
      <c r="N48" s="242">
        <v>190.72216216216199</v>
      </c>
      <c r="O48" s="243">
        <v>0.33936327786861598</v>
      </c>
      <c r="P48" s="244">
        <v>371.27783783783798</v>
      </c>
      <c r="Q48" s="245">
        <v>177.30452261306499</v>
      </c>
      <c r="R48" s="245">
        <v>251.12882562277599</v>
      </c>
      <c r="S48" s="245">
        <v>866.83417085427095</v>
      </c>
      <c r="T48" s="246"/>
      <c r="U48" s="245">
        <v>263.81909547738701</v>
      </c>
      <c r="V48" s="245">
        <v>1227.75800711744</v>
      </c>
      <c r="W48" s="237"/>
    </row>
    <row r="49" spans="1:23">
      <c r="A49" s="247" t="s">
        <v>330</v>
      </c>
      <c r="B49" s="248">
        <v>41.8</v>
      </c>
      <c r="C49" s="249">
        <v>42.481920000000002</v>
      </c>
      <c r="D49" s="248">
        <v>124.8</v>
      </c>
      <c r="E49" s="250">
        <v>129</v>
      </c>
      <c r="F49" s="248">
        <v>383.5</v>
      </c>
      <c r="G49" s="248">
        <v>205.34399999999999</v>
      </c>
      <c r="H49" s="251">
        <v>178.15600000000001</v>
      </c>
      <c r="I49" s="252">
        <v>0.53544719687092601</v>
      </c>
      <c r="J49" s="248">
        <v>1876</v>
      </c>
      <c r="K49" s="248">
        <v>1454</v>
      </c>
      <c r="L49" s="248">
        <v>270</v>
      </c>
      <c r="M49" s="253">
        <v>736.48008000000004</v>
      </c>
      <c r="N49" s="254">
        <v>73.042783178199599</v>
      </c>
      <c r="O49" s="255">
        <v>9.9178219699030498E-2</v>
      </c>
      <c r="P49" s="256">
        <v>663.43729682180106</v>
      </c>
      <c r="Q49" s="257">
        <v>110.77423728813601</v>
      </c>
      <c r="R49" s="253">
        <v>57.682374790096198</v>
      </c>
      <c r="S49" s="258">
        <v>336.37548891786201</v>
      </c>
      <c r="T49" s="259"/>
      <c r="U49" s="260"/>
      <c r="V49" s="253">
        <v>175.157486947916</v>
      </c>
      <c r="W49" s="248"/>
    </row>
    <row r="50" spans="1:23">
      <c r="A50" s="133" t="s">
        <v>334</v>
      </c>
      <c r="B50" s="219">
        <v>77</v>
      </c>
      <c r="C50" s="220">
        <v>81.99</v>
      </c>
      <c r="D50" s="219">
        <v>234</v>
      </c>
      <c r="E50" s="223">
        <v>166.666666666667</v>
      </c>
      <c r="F50" s="219">
        <v>491</v>
      </c>
      <c r="G50" s="219">
        <v>309</v>
      </c>
      <c r="H50" s="219">
        <v>182</v>
      </c>
      <c r="I50" s="221">
        <v>0.62932790224032598</v>
      </c>
      <c r="J50" s="219">
        <v>1820</v>
      </c>
      <c r="K50" s="219">
        <v>1450</v>
      </c>
      <c r="L50" s="219">
        <v>140</v>
      </c>
      <c r="M50" s="222">
        <v>369.46</v>
      </c>
      <c r="N50" s="223">
        <v>135.76751117734699</v>
      </c>
      <c r="O50" s="224">
        <v>0.36747553504397601</v>
      </c>
      <c r="P50" s="225">
        <v>233.69248882265299</v>
      </c>
      <c r="Q50" s="222">
        <v>166.98574338085501</v>
      </c>
      <c r="R50" s="222">
        <v>221.91847561305701</v>
      </c>
      <c r="S50" s="222">
        <v>339.44331296673499</v>
      </c>
      <c r="T50" s="222"/>
      <c r="U50" s="222">
        <v>376.78207739307499</v>
      </c>
      <c r="V50" s="222"/>
      <c r="W50" s="219"/>
    </row>
    <row r="51" spans="1:23">
      <c r="A51" s="133" t="s">
        <v>340</v>
      </c>
      <c r="B51" s="219">
        <v>77</v>
      </c>
      <c r="C51" s="220">
        <v>81.99</v>
      </c>
      <c r="D51" s="219">
        <v>234</v>
      </c>
      <c r="E51" s="223">
        <v>166.666666666667</v>
      </c>
      <c r="F51" s="219">
        <v>491</v>
      </c>
      <c r="G51" s="219">
        <v>309</v>
      </c>
      <c r="H51" s="219">
        <v>182</v>
      </c>
      <c r="I51" s="221">
        <v>0.62932790224032598</v>
      </c>
      <c r="J51" s="219">
        <v>1820</v>
      </c>
      <c r="K51" s="219">
        <v>1450</v>
      </c>
      <c r="L51" s="219">
        <v>140</v>
      </c>
      <c r="M51" s="222">
        <v>369.46</v>
      </c>
      <c r="N51" s="223">
        <v>135.76751117734699</v>
      </c>
      <c r="O51" s="224">
        <v>0.36747553504397601</v>
      </c>
      <c r="P51" s="225">
        <v>233.69248882265299</v>
      </c>
      <c r="Q51" s="222">
        <v>166.98574338085501</v>
      </c>
      <c r="R51" s="222">
        <v>221.91847561305701</v>
      </c>
      <c r="S51" s="222">
        <v>339.44331296673499</v>
      </c>
      <c r="T51" s="222"/>
      <c r="U51" s="222">
        <v>346.23217922606898</v>
      </c>
      <c r="V51" s="222"/>
      <c r="W51" s="219"/>
    </row>
    <row r="52" spans="1:23">
      <c r="A52" s="133" t="s">
        <v>342</v>
      </c>
      <c r="B52" s="219">
        <v>58</v>
      </c>
      <c r="C52" s="220">
        <v>62</v>
      </c>
      <c r="D52" s="219">
        <v>156</v>
      </c>
      <c r="E52" s="223">
        <v>166.666666666667</v>
      </c>
      <c r="F52" s="219">
        <v>376</v>
      </c>
      <c r="G52" s="222">
        <v>237.816</v>
      </c>
      <c r="H52" s="219">
        <v>138.184</v>
      </c>
      <c r="I52" s="221">
        <v>0.63248936170212799</v>
      </c>
      <c r="J52" s="219">
        <v>1317</v>
      </c>
      <c r="K52" s="219">
        <v>1302</v>
      </c>
      <c r="L52" s="219">
        <v>128.5</v>
      </c>
      <c r="M52" s="222">
        <v>220.34331900000001</v>
      </c>
      <c r="N52" s="223">
        <v>102.66600430534901</v>
      </c>
      <c r="O52" s="224">
        <v>0.46593654289717101</v>
      </c>
      <c r="P52" s="225">
        <v>117.677314694651</v>
      </c>
      <c r="Q52" s="222">
        <v>164.89361702127701</v>
      </c>
      <c r="R52" s="222">
        <v>281.379078255602</v>
      </c>
      <c r="S52" s="222">
        <v>443.26241134751803</v>
      </c>
      <c r="T52" s="222">
        <v>206.855791962175</v>
      </c>
      <c r="U52" s="222">
        <v>265.95744680851101</v>
      </c>
      <c r="V52" s="222">
        <v>756.39537165484296</v>
      </c>
      <c r="W52" s="222">
        <v>352.98450677225998</v>
      </c>
    </row>
    <row r="53" spans="1:23">
      <c r="A53" s="133" t="s">
        <v>345</v>
      </c>
      <c r="B53" s="219">
        <v>77</v>
      </c>
      <c r="C53" s="220">
        <v>82</v>
      </c>
      <c r="D53" s="219">
        <v>234</v>
      </c>
      <c r="E53" s="223">
        <v>166.666666666667</v>
      </c>
      <c r="F53" s="219">
        <v>491</v>
      </c>
      <c r="G53" s="219">
        <v>309.024</v>
      </c>
      <c r="H53" s="219">
        <v>181.976</v>
      </c>
      <c r="I53" s="221">
        <v>0.629376782077393</v>
      </c>
      <c r="J53" s="219">
        <v>1820</v>
      </c>
      <c r="K53" s="219">
        <v>1450</v>
      </c>
      <c r="L53" s="219">
        <v>140</v>
      </c>
      <c r="M53" s="222">
        <v>369.46</v>
      </c>
      <c r="N53" s="223">
        <v>135.7840702103</v>
      </c>
      <c r="O53" s="224">
        <v>0.36752035459941501</v>
      </c>
      <c r="P53" s="225">
        <v>233.67592978970001</v>
      </c>
      <c r="Q53" s="222">
        <v>167.00610997963301</v>
      </c>
      <c r="R53" s="222">
        <v>221.94554214258699</v>
      </c>
      <c r="S53" s="222">
        <v>339.44331296673499</v>
      </c>
      <c r="T53" s="222"/>
      <c r="U53" s="222"/>
      <c r="V53" s="222"/>
      <c r="W53" s="219"/>
    </row>
    <row r="54" spans="1:23">
      <c r="A54" s="133" t="s">
        <v>348</v>
      </c>
      <c r="B54" s="219"/>
      <c r="C54" s="220">
        <v>82</v>
      </c>
      <c r="D54" s="219">
        <v>234</v>
      </c>
      <c r="E54" s="223">
        <v>277.777777777778</v>
      </c>
      <c r="F54" s="219">
        <v>491</v>
      </c>
      <c r="G54" s="219">
        <v>309.024</v>
      </c>
      <c r="H54" s="219">
        <v>181.976</v>
      </c>
      <c r="I54" s="221">
        <v>0.629376782077393</v>
      </c>
      <c r="J54" s="219">
        <v>1820</v>
      </c>
      <c r="K54" s="219">
        <v>1450</v>
      </c>
      <c r="L54" s="219">
        <v>140</v>
      </c>
      <c r="M54" s="222">
        <v>369</v>
      </c>
      <c r="N54" s="223">
        <v>135.7840702103</v>
      </c>
      <c r="O54" s="224">
        <v>0.36797851005501298</v>
      </c>
      <c r="P54" s="225">
        <v>233.2159297897</v>
      </c>
      <c r="Q54" s="223">
        <v>161.69999999999999</v>
      </c>
      <c r="R54" s="222"/>
      <c r="S54" s="222"/>
      <c r="T54" s="222"/>
      <c r="U54" s="222"/>
      <c r="V54" s="222"/>
      <c r="W54" s="219"/>
    </row>
    <row r="55" spans="1:23">
      <c r="A55" s="133" t="s">
        <v>350</v>
      </c>
      <c r="B55" s="219"/>
      <c r="C55" s="220">
        <v>62</v>
      </c>
      <c r="D55" s="219">
        <v>156</v>
      </c>
      <c r="E55" s="223">
        <v>166.666666666667</v>
      </c>
      <c r="F55" s="219">
        <v>376</v>
      </c>
      <c r="G55" s="222">
        <v>237.816</v>
      </c>
      <c r="H55" s="219">
        <v>138.184</v>
      </c>
      <c r="I55" s="221">
        <v>0.63248936170212799</v>
      </c>
      <c r="J55" s="219">
        <v>1317</v>
      </c>
      <c r="K55" s="219">
        <v>1302</v>
      </c>
      <c r="L55" s="219">
        <v>128.5</v>
      </c>
      <c r="M55" s="222">
        <v>220</v>
      </c>
      <c r="N55" s="223">
        <v>102.66600430534901</v>
      </c>
      <c r="O55" s="224">
        <v>0.46666365593340298</v>
      </c>
      <c r="P55" s="225">
        <v>117.33399569465099</v>
      </c>
      <c r="Q55" s="223">
        <v>164.6</v>
      </c>
      <c r="R55" s="222"/>
      <c r="S55" s="222"/>
      <c r="T55" s="222"/>
      <c r="U55" s="222"/>
      <c r="V55" s="222"/>
      <c r="W55" s="219"/>
    </row>
    <row r="56" spans="1:23">
      <c r="A56" s="133" t="s">
        <v>352</v>
      </c>
      <c r="B56" s="219"/>
      <c r="C56" s="220">
        <v>82</v>
      </c>
      <c r="D56" s="219">
        <v>234</v>
      </c>
      <c r="E56" s="223">
        <v>232.222222222222</v>
      </c>
      <c r="F56" s="219">
        <v>491</v>
      </c>
      <c r="G56" s="219">
        <v>309</v>
      </c>
      <c r="H56" s="219">
        <v>182</v>
      </c>
      <c r="I56" s="221">
        <v>0.62932790224032598</v>
      </c>
      <c r="J56" s="219">
        <v>1820</v>
      </c>
      <c r="K56" s="219">
        <v>1450</v>
      </c>
      <c r="L56" s="219">
        <v>140</v>
      </c>
      <c r="M56" s="222">
        <v>369</v>
      </c>
      <c r="N56" s="223">
        <v>135.7840702103</v>
      </c>
      <c r="O56" s="224">
        <v>0.36797851005501298</v>
      </c>
      <c r="P56" s="225">
        <v>233.2159297897</v>
      </c>
      <c r="Q56" s="223">
        <v>161.69999999999999</v>
      </c>
      <c r="R56" s="222"/>
      <c r="S56" s="222"/>
      <c r="T56" s="222"/>
      <c r="U56" s="222"/>
      <c r="V56" s="222"/>
      <c r="W56" s="219"/>
    </row>
    <row r="57" spans="1:23">
      <c r="A57" s="133" t="s">
        <v>354</v>
      </c>
      <c r="B57" s="219">
        <v>77</v>
      </c>
      <c r="C57" s="220">
        <v>82</v>
      </c>
      <c r="D57" s="219">
        <v>234</v>
      </c>
      <c r="E57" s="219"/>
      <c r="F57" s="219">
        <v>491</v>
      </c>
      <c r="G57" s="219">
        <v>309</v>
      </c>
      <c r="H57" s="219">
        <v>182</v>
      </c>
      <c r="I57" s="221">
        <v>0.62932790224032598</v>
      </c>
      <c r="J57" s="219">
        <v>1820</v>
      </c>
      <c r="K57" s="219">
        <v>1450</v>
      </c>
      <c r="L57" s="219">
        <v>140</v>
      </c>
      <c r="M57" s="222">
        <v>369.46</v>
      </c>
      <c r="N57" s="223">
        <v>135.7840702103</v>
      </c>
      <c r="O57" s="224">
        <v>0.36752035459941501</v>
      </c>
      <c r="P57" s="225">
        <v>233.67592978970001</v>
      </c>
      <c r="Q57" s="222">
        <v>167.00610997963301</v>
      </c>
      <c r="R57" s="222">
        <v>221.94554214258699</v>
      </c>
      <c r="S57" s="222"/>
      <c r="T57" s="222"/>
      <c r="U57" s="222"/>
      <c r="V57" s="222"/>
      <c r="W57" s="219"/>
    </row>
    <row r="58" spans="1:23">
      <c r="A58" s="133" t="s">
        <v>356</v>
      </c>
      <c r="B58" s="219">
        <v>77</v>
      </c>
      <c r="C58" s="220">
        <v>82</v>
      </c>
      <c r="D58" s="219">
        <v>234</v>
      </c>
      <c r="E58" s="219"/>
      <c r="F58" s="219">
        <v>491</v>
      </c>
      <c r="G58" s="219">
        <v>309</v>
      </c>
      <c r="H58" s="219">
        <v>182</v>
      </c>
      <c r="I58" s="221">
        <v>0.62932790224032598</v>
      </c>
      <c r="J58" s="219">
        <v>1820</v>
      </c>
      <c r="K58" s="219">
        <v>1450</v>
      </c>
      <c r="L58" s="219">
        <v>140</v>
      </c>
      <c r="M58" s="222">
        <v>369.46</v>
      </c>
      <c r="N58" s="223">
        <v>135.7840702103</v>
      </c>
      <c r="O58" s="224">
        <v>0.36752035459941501</v>
      </c>
      <c r="P58" s="225">
        <v>233.67592978970001</v>
      </c>
      <c r="Q58" s="222">
        <v>167.00610997963301</v>
      </c>
      <c r="R58" s="222">
        <v>221.94554214258699</v>
      </c>
      <c r="S58" s="222"/>
      <c r="T58" s="222"/>
      <c r="U58" s="222"/>
      <c r="V58" s="222"/>
      <c r="W58" s="219"/>
    </row>
    <row r="59" spans="1:23">
      <c r="A59" s="133" t="s">
        <v>358</v>
      </c>
      <c r="B59" s="219">
        <v>77</v>
      </c>
      <c r="C59" s="220">
        <v>82</v>
      </c>
      <c r="D59" s="219">
        <v>234</v>
      </c>
      <c r="E59" s="219"/>
      <c r="F59" s="219">
        <v>491</v>
      </c>
      <c r="G59" s="219">
        <v>309</v>
      </c>
      <c r="H59" s="219">
        <v>182</v>
      </c>
      <c r="I59" s="221">
        <v>0.62932790224032598</v>
      </c>
      <c r="J59" s="219">
        <v>1820</v>
      </c>
      <c r="K59" s="219">
        <v>1450</v>
      </c>
      <c r="L59" s="219">
        <v>140</v>
      </c>
      <c r="M59" s="222">
        <v>369.46</v>
      </c>
      <c r="N59" s="223">
        <v>135.7840702103</v>
      </c>
      <c r="O59" s="224">
        <v>0.36752035459941501</v>
      </c>
      <c r="P59" s="225">
        <v>233.67592978970001</v>
      </c>
      <c r="Q59" s="222">
        <v>167.00610997963301</v>
      </c>
      <c r="R59" s="222">
        <v>221.94554214258699</v>
      </c>
      <c r="S59" s="222"/>
      <c r="T59" s="222"/>
      <c r="U59" s="222"/>
      <c r="V59" s="222"/>
      <c r="W59" s="219"/>
    </row>
    <row r="60" spans="1:23">
      <c r="A60" s="188" t="s">
        <v>361</v>
      </c>
      <c r="B60" s="189"/>
      <c r="C60" s="190">
        <v>140</v>
      </c>
      <c r="D60" s="189"/>
      <c r="E60" s="265">
        <v>444.44444444444503</v>
      </c>
      <c r="F60" s="189">
        <v>727</v>
      </c>
      <c r="G60" s="192">
        <v>491.11919999999998</v>
      </c>
      <c r="H60" s="192">
        <v>235.88079999999999</v>
      </c>
      <c r="I60" s="193">
        <v>0.67554222833562605</v>
      </c>
      <c r="J60" s="266">
        <v>1580</v>
      </c>
      <c r="K60" s="266">
        <v>2020</v>
      </c>
      <c r="L60" s="266">
        <v>140</v>
      </c>
      <c r="M60" s="267">
        <v>446.82400000000001</v>
      </c>
      <c r="N60" s="191">
        <v>202.31213872832399</v>
      </c>
      <c r="O60" s="195">
        <v>0.45277813798794098</v>
      </c>
      <c r="P60" s="196">
        <v>244.511861271676</v>
      </c>
      <c r="Q60" s="194">
        <v>192.572214580468</v>
      </c>
      <c r="R60" s="194">
        <v>313.32247148765498</v>
      </c>
      <c r="S60" s="192">
        <v>611.34036374751599</v>
      </c>
      <c r="T60" s="197"/>
      <c r="U60" s="192"/>
      <c r="V60" s="192">
        <v>994.67451265922296</v>
      </c>
      <c r="W60" s="189"/>
    </row>
  </sheetData>
  <mergeCells count="4">
    <mergeCell ref="J1:L1"/>
    <mergeCell ref="S1:U1"/>
    <mergeCell ref="V1:W1"/>
    <mergeCell ref="B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P2555"/>
  <sheetViews>
    <sheetView topLeftCell="N1" zoomScaleNormal="100" workbookViewId="0">
      <pane ySplit="3" topLeftCell="A40" activePane="bottomLeft" state="frozen"/>
      <selection pane="bottomLeft" activeCell="A2" sqref="A2:BS61"/>
    </sheetView>
  </sheetViews>
  <sheetFormatPr defaultColWidth="14.42578125" defaultRowHeight="15"/>
  <cols>
    <col min="1" max="1" width="4.42578125" style="12" customWidth="1"/>
    <col min="2" max="2" width="9.140625" style="12" customWidth="1"/>
    <col min="3" max="3" width="22.140625" customWidth="1"/>
    <col min="4" max="4" width="32.140625" style="13" customWidth="1"/>
    <col min="5" max="5" width="20.42578125" style="12" hidden="1" customWidth="1"/>
    <col min="6" max="6" width="16" hidden="1" customWidth="1"/>
    <col min="7" max="7" width="0" style="14" hidden="1" customWidth="1"/>
    <col min="8" max="8" width="10.140625" customWidth="1"/>
    <col min="9" max="9" width="8.42578125" customWidth="1"/>
    <col min="10" max="13" width="8.42578125" hidden="1" customWidth="1"/>
    <col min="14" max="14" width="8.42578125" customWidth="1"/>
    <col min="15" max="15" width="11.42578125" hidden="1" customWidth="1"/>
    <col min="16" max="19" width="8.42578125" hidden="1" customWidth="1"/>
    <col min="20" max="20" width="8.42578125" customWidth="1"/>
    <col min="21" max="28" width="8.42578125" hidden="1" customWidth="1"/>
    <col min="29" max="30" width="10.85546875" hidden="1" customWidth="1"/>
    <col min="31" max="41" width="12.42578125" hidden="1" customWidth="1"/>
    <col min="42" max="42" width="10.42578125" hidden="1" customWidth="1"/>
    <col min="43" max="43" width="15" hidden="1" customWidth="1"/>
    <col min="44" max="44" width="12.42578125" hidden="1" customWidth="1"/>
    <col min="45" max="46" width="12.42578125" style="15" hidden="1" customWidth="1"/>
    <col min="47" max="50" width="8.42578125" customWidth="1"/>
    <col min="51" max="51" width="12.42578125" customWidth="1"/>
    <col min="52" max="53" width="8.42578125" customWidth="1"/>
    <col min="54" max="57" width="10.85546875" customWidth="1"/>
    <col min="58" max="58" width="12.42578125" hidden="1" customWidth="1"/>
    <col min="59" max="61" width="10.85546875" hidden="1" customWidth="1"/>
    <col min="62" max="62" width="13.42578125" hidden="1" customWidth="1"/>
    <col min="63" max="63" width="10.42578125" hidden="1" customWidth="1"/>
    <col min="64" max="64" width="17.42578125" hidden="1" customWidth="1"/>
    <col min="65" max="65" width="14" customWidth="1"/>
    <col min="66" max="66" width="16.140625" customWidth="1"/>
    <col min="67" max="67" width="13.140625" customWidth="1"/>
    <col min="68" max="69" width="8.42578125" customWidth="1"/>
    <col min="70" max="70" width="11.42578125" customWidth="1"/>
    <col min="71" max="71" width="10.42578125" customWidth="1"/>
    <col min="72" max="77" width="10.42578125" hidden="1" customWidth="1"/>
    <col min="78" max="78" width="8.42578125" hidden="1" customWidth="1"/>
    <col min="79" max="79" width="10.85546875" hidden="1" customWidth="1"/>
    <col min="80" max="80" width="15.42578125" hidden="1" customWidth="1"/>
    <col min="81" max="82" width="10.85546875" style="12" hidden="1" customWidth="1"/>
    <col min="83" max="90" width="10.85546875" style="14" hidden="1" customWidth="1"/>
    <col min="91" max="92" width="10.85546875" hidden="1" customWidth="1"/>
    <col min="93" max="95" width="8.42578125" hidden="1" customWidth="1"/>
    <col min="96" max="96" width="8.85546875" hidden="1" customWidth="1"/>
    <col min="97" max="105" width="0" style="12" hidden="1" customWidth="1"/>
    <col min="106" max="106" width="10.42578125" style="12" hidden="1" customWidth="1"/>
    <col min="107" max="110" width="8.85546875" hidden="1" customWidth="1"/>
    <col min="111" max="111" width="0" hidden="1" customWidth="1"/>
    <col min="112" max="115" width="11.140625" hidden="1" customWidth="1"/>
    <col min="116" max="117" width="0" hidden="1" customWidth="1"/>
    <col min="118" max="121" width="9.85546875" hidden="1" customWidth="1"/>
    <col min="122" max="122" width="10.5703125" hidden="1" customWidth="1"/>
    <col min="123" max="130" width="9.85546875" hidden="1" customWidth="1"/>
    <col min="131" max="134" width="12.140625" hidden="1" customWidth="1"/>
    <col min="135" max="143" width="9.42578125" hidden="1" customWidth="1"/>
    <col min="144" max="144" width="11.5703125" hidden="1" customWidth="1"/>
    <col min="145" max="156" width="9.42578125" hidden="1" customWidth="1"/>
    <col min="157" max="164" width="9.85546875" hidden="1" customWidth="1"/>
    <col min="165" max="171" width="8.85546875" hidden="1" customWidth="1"/>
    <col min="192" max="194" width="14.42578125" style="12"/>
    <col min="196" max="198" width="14.42578125" style="12"/>
  </cols>
  <sheetData>
    <row r="1" spans="1:194" ht="15" customHeight="1">
      <c r="C1" s="12">
        <v>45324</v>
      </c>
      <c r="D1" s="16">
        <v>0.25578744201270898</v>
      </c>
      <c r="E1" s="16"/>
      <c r="K1">
        <v>1077</v>
      </c>
      <c r="AU1" s="12">
        <v>1158</v>
      </c>
      <c r="BB1" s="12">
        <v>770</v>
      </c>
      <c r="BM1" s="12">
        <v>1145</v>
      </c>
      <c r="BN1" s="12">
        <v>740</v>
      </c>
      <c r="CA1" s="12">
        <v>736</v>
      </c>
      <c r="CC1" s="12">
        <v>235</v>
      </c>
      <c r="CD1" s="12">
        <v>1004</v>
      </c>
      <c r="DC1" s="12">
        <v>2</v>
      </c>
      <c r="DD1" s="12">
        <v>1</v>
      </c>
      <c r="DE1" s="12">
        <v>10</v>
      </c>
      <c r="DF1" s="12">
        <v>6</v>
      </c>
      <c r="DG1" s="12">
        <v>7</v>
      </c>
      <c r="DH1" s="12">
        <v>0</v>
      </c>
      <c r="DI1" s="12">
        <v>1</v>
      </c>
      <c r="DJ1" s="12">
        <v>4</v>
      </c>
      <c r="DK1" s="12">
        <v>1</v>
      </c>
      <c r="DL1" s="12">
        <v>1</v>
      </c>
      <c r="DM1" s="12">
        <v>7</v>
      </c>
      <c r="DN1" s="12">
        <v>1</v>
      </c>
      <c r="DO1" s="12">
        <v>0</v>
      </c>
      <c r="DP1" s="12">
        <v>2</v>
      </c>
      <c r="DQ1" s="12">
        <v>2</v>
      </c>
      <c r="DR1" s="12">
        <v>1</v>
      </c>
      <c r="DS1" s="12">
        <v>1</v>
      </c>
      <c r="DT1" s="12">
        <v>1</v>
      </c>
      <c r="DU1" s="12">
        <v>5</v>
      </c>
      <c r="DV1" s="12">
        <v>1</v>
      </c>
      <c r="DW1" s="12">
        <v>4</v>
      </c>
      <c r="DX1" s="12">
        <v>2</v>
      </c>
      <c r="DY1" s="12">
        <v>1</v>
      </c>
      <c r="DZ1" s="12">
        <v>5</v>
      </c>
      <c r="EA1" s="12">
        <v>1</v>
      </c>
      <c r="EB1" s="12">
        <v>23</v>
      </c>
      <c r="EC1" s="12"/>
      <c r="ED1" s="12">
        <v>4</v>
      </c>
      <c r="EE1" s="12">
        <v>1</v>
      </c>
      <c r="EF1" s="12">
        <v>3</v>
      </c>
      <c r="EG1" s="12">
        <v>4</v>
      </c>
      <c r="EH1" s="12">
        <v>3</v>
      </c>
      <c r="EI1" s="12">
        <v>15</v>
      </c>
      <c r="EJ1" s="12">
        <v>58</v>
      </c>
      <c r="EK1" s="12">
        <v>3</v>
      </c>
      <c r="EL1" s="12">
        <v>2</v>
      </c>
      <c r="EM1" s="12">
        <v>1</v>
      </c>
      <c r="EN1" s="12">
        <v>3</v>
      </c>
      <c r="EO1" s="12">
        <v>2</v>
      </c>
      <c r="EP1" s="12">
        <v>2</v>
      </c>
      <c r="EQ1" s="12">
        <v>2</v>
      </c>
      <c r="ER1" s="12">
        <v>4</v>
      </c>
      <c r="ES1" s="12">
        <v>7</v>
      </c>
      <c r="ET1" s="12">
        <v>7</v>
      </c>
      <c r="EU1" s="12">
        <v>1</v>
      </c>
      <c r="EV1" s="12">
        <v>1</v>
      </c>
      <c r="EW1" s="12">
        <v>2</v>
      </c>
      <c r="EX1" s="12">
        <v>4</v>
      </c>
      <c r="EY1" s="12">
        <v>5</v>
      </c>
      <c r="EZ1" s="12">
        <v>2</v>
      </c>
      <c r="FA1" s="12">
        <v>1</v>
      </c>
      <c r="FB1" s="12">
        <v>2</v>
      </c>
      <c r="FC1" s="12">
        <v>3</v>
      </c>
      <c r="FD1" s="12">
        <v>2</v>
      </c>
      <c r="FE1" s="12">
        <v>6</v>
      </c>
      <c r="FF1" s="12">
        <v>9</v>
      </c>
      <c r="FG1" s="12">
        <v>2</v>
      </c>
      <c r="FH1" s="12">
        <v>19</v>
      </c>
      <c r="FI1" s="12">
        <v>1</v>
      </c>
      <c r="FJ1" s="12">
        <v>13</v>
      </c>
      <c r="FK1" s="12">
        <v>18</v>
      </c>
      <c r="FL1" s="12">
        <v>7</v>
      </c>
      <c r="FM1" s="12">
        <v>5</v>
      </c>
      <c r="FN1" s="12">
        <v>73</v>
      </c>
      <c r="FO1" s="12">
        <v>3</v>
      </c>
    </row>
    <row r="2" spans="1:194" ht="45" customHeight="1">
      <c r="A2" s="17" t="s">
        <v>0</v>
      </c>
      <c r="B2" s="17"/>
      <c r="C2" s="18" t="s">
        <v>1</v>
      </c>
      <c r="D2" s="19" t="s">
        <v>2</v>
      </c>
      <c r="E2" s="20" t="s">
        <v>3</v>
      </c>
      <c r="F2" s="21" t="s">
        <v>4</v>
      </c>
      <c r="G2" s="21" t="s">
        <v>5</v>
      </c>
      <c r="H2" s="11" t="s">
        <v>6</v>
      </c>
      <c r="I2" s="11"/>
      <c r="J2" s="22" t="s">
        <v>7</v>
      </c>
      <c r="K2" s="23" t="s">
        <v>8</v>
      </c>
      <c r="L2" s="24" t="s">
        <v>9</v>
      </c>
      <c r="M2" s="25"/>
      <c r="N2" s="22" t="s">
        <v>10</v>
      </c>
      <c r="O2" s="11" t="s">
        <v>11</v>
      </c>
      <c r="P2" s="11"/>
      <c r="Q2" s="26" t="s">
        <v>12</v>
      </c>
      <c r="R2" s="10" t="s">
        <v>13</v>
      </c>
      <c r="S2" s="10"/>
      <c r="T2" s="10"/>
      <c r="U2" s="10"/>
      <c r="V2" s="10"/>
      <c r="W2" s="10"/>
      <c r="X2" s="10"/>
      <c r="Y2" s="10"/>
      <c r="Z2" s="27" t="s">
        <v>14</v>
      </c>
      <c r="AA2" s="11" t="s">
        <v>15</v>
      </c>
      <c r="AB2" s="11"/>
      <c r="AC2" s="11"/>
      <c r="AD2" s="11"/>
      <c r="AE2" s="11"/>
      <c r="AF2" s="11"/>
      <c r="AG2" s="11"/>
      <c r="AH2" s="11"/>
      <c r="AI2" s="11"/>
      <c r="AJ2" s="9" t="s">
        <v>16</v>
      </c>
      <c r="AK2" s="9"/>
      <c r="AL2" s="9"/>
      <c r="AM2" s="9"/>
      <c r="AN2" s="9"/>
      <c r="AO2" s="9"/>
      <c r="AP2" s="8" t="s">
        <v>17</v>
      </c>
      <c r="AQ2" s="8"/>
      <c r="AR2" s="7" t="s">
        <v>18</v>
      </c>
      <c r="AS2" s="7"/>
      <c r="AT2" s="7"/>
      <c r="AU2" s="23" t="s">
        <v>19</v>
      </c>
      <c r="AV2" s="23" t="s">
        <v>20</v>
      </c>
      <c r="AW2" s="23" t="s">
        <v>21</v>
      </c>
      <c r="AX2" s="23" t="s">
        <v>22</v>
      </c>
      <c r="AY2" s="11" t="s">
        <v>23</v>
      </c>
      <c r="AZ2" s="11"/>
      <c r="BA2" s="11"/>
      <c r="BB2" s="23" t="s">
        <v>24</v>
      </c>
      <c r="BC2" s="28" t="s">
        <v>25</v>
      </c>
      <c r="BD2" s="28" t="s">
        <v>22</v>
      </c>
      <c r="BE2" s="28" t="s">
        <v>21</v>
      </c>
      <c r="BF2" s="29" t="s">
        <v>26</v>
      </c>
      <c r="BG2" s="6" t="s">
        <v>27</v>
      </c>
      <c r="BH2" s="6"/>
      <c r="BI2" s="6"/>
      <c r="BJ2" s="11" t="s">
        <v>28</v>
      </c>
      <c r="BK2" s="11"/>
      <c r="BL2" s="11"/>
      <c r="BM2" s="23" t="s">
        <v>29</v>
      </c>
      <c r="BN2" s="22" t="s">
        <v>30</v>
      </c>
      <c r="BO2" s="6" t="s">
        <v>31</v>
      </c>
      <c r="BP2" s="6"/>
      <c r="BQ2" s="6"/>
      <c r="BR2" s="11" t="s">
        <v>32</v>
      </c>
      <c r="BS2" s="11"/>
      <c r="BT2" s="11" t="s">
        <v>33</v>
      </c>
      <c r="BU2" s="11"/>
      <c r="BV2" s="30" t="s">
        <v>34</v>
      </c>
      <c r="BW2" s="5" t="s">
        <v>35</v>
      </c>
      <c r="BX2" s="5"/>
      <c r="BY2" s="5"/>
      <c r="BZ2" s="5"/>
      <c r="CA2" s="4" t="s">
        <v>36</v>
      </c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3" t="s">
        <v>37</v>
      </c>
      <c r="CP2" s="3"/>
      <c r="CQ2" s="3"/>
      <c r="CR2" s="3"/>
      <c r="CS2" s="2" t="s">
        <v>38</v>
      </c>
      <c r="CT2" s="2"/>
      <c r="CU2" s="2"/>
      <c r="CV2" s="2"/>
      <c r="CW2" s="2"/>
      <c r="CX2" s="2"/>
      <c r="CY2" s="2"/>
      <c r="CZ2" s="2"/>
      <c r="DA2" s="2"/>
      <c r="DB2" s="2"/>
      <c r="DC2" s="1" t="s">
        <v>39</v>
      </c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</row>
    <row r="3" spans="1:194" ht="24" customHeight="1">
      <c r="A3" s="17"/>
      <c r="B3" s="17"/>
      <c r="C3" s="31"/>
      <c r="D3" s="32" t="s">
        <v>40</v>
      </c>
      <c r="E3" s="33"/>
      <c r="F3" s="34"/>
      <c r="G3" s="35"/>
      <c r="H3" s="36" t="s">
        <v>41</v>
      </c>
      <c r="I3" s="36" t="s">
        <v>42</v>
      </c>
      <c r="J3" s="36"/>
      <c r="K3" s="37" t="s">
        <v>43</v>
      </c>
      <c r="L3" s="37" t="s">
        <v>44</v>
      </c>
      <c r="M3" s="37" t="s">
        <v>45</v>
      </c>
      <c r="N3" s="36" t="s">
        <v>46</v>
      </c>
      <c r="O3" s="38" t="s">
        <v>47</v>
      </c>
      <c r="P3" s="38" t="s">
        <v>48</v>
      </c>
      <c r="Q3" s="39" t="s">
        <v>49</v>
      </c>
      <c r="R3" s="37" t="s">
        <v>50</v>
      </c>
      <c r="S3" s="37" t="s">
        <v>51</v>
      </c>
      <c r="T3" s="37" t="s">
        <v>52</v>
      </c>
      <c r="U3" s="37" t="s">
        <v>53</v>
      </c>
      <c r="V3" s="37" t="s">
        <v>54</v>
      </c>
      <c r="W3" s="37" t="s">
        <v>55</v>
      </c>
      <c r="X3" s="37" t="s">
        <v>56</v>
      </c>
      <c r="Y3" s="37" t="s">
        <v>57</v>
      </c>
      <c r="Z3" s="40" t="s">
        <v>52</v>
      </c>
      <c r="AA3" s="36" t="s">
        <v>58</v>
      </c>
      <c r="AB3" s="36" t="s">
        <v>59</v>
      </c>
      <c r="AC3" s="36" t="s">
        <v>60</v>
      </c>
      <c r="AD3" s="36" t="s">
        <v>61</v>
      </c>
      <c r="AE3" s="36" t="s">
        <v>62</v>
      </c>
      <c r="AF3" s="36" t="s">
        <v>63</v>
      </c>
      <c r="AG3" s="36" t="s">
        <v>64</v>
      </c>
      <c r="AH3" s="36" t="s">
        <v>65</v>
      </c>
      <c r="AI3" s="36" t="s">
        <v>66</v>
      </c>
      <c r="AJ3" s="41" t="s">
        <v>67</v>
      </c>
      <c r="AK3" s="42" t="s">
        <v>68</v>
      </c>
      <c r="AL3" s="43" t="s">
        <v>69</v>
      </c>
      <c r="AM3" s="42" t="s">
        <v>68</v>
      </c>
      <c r="AN3" s="41" t="s">
        <v>70</v>
      </c>
      <c r="AO3" s="42" t="s">
        <v>68</v>
      </c>
      <c r="AP3" s="44" t="s">
        <v>71</v>
      </c>
      <c r="AQ3" s="44" t="s">
        <v>72</v>
      </c>
      <c r="AR3" s="40" t="s">
        <v>73</v>
      </c>
      <c r="AS3" s="45" t="s">
        <v>74</v>
      </c>
      <c r="AT3" s="45" t="s">
        <v>75</v>
      </c>
      <c r="AU3" s="37" t="s">
        <v>76</v>
      </c>
      <c r="AV3" s="37" t="s">
        <v>76</v>
      </c>
      <c r="AW3" s="37" t="s">
        <v>76</v>
      </c>
      <c r="AX3" s="37" t="s">
        <v>77</v>
      </c>
      <c r="AY3" s="36" t="s">
        <v>78</v>
      </c>
      <c r="AZ3" s="36" t="s">
        <v>79</v>
      </c>
      <c r="BA3" s="36" t="s">
        <v>80</v>
      </c>
      <c r="BB3" s="37" t="s">
        <v>81</v>
      </c>
      <c r="BC3" s="37" t="s">
        <v>81</v>
      </c>
      <c r="BD3" s="37" t="s">
        <v>77</v>
      </c>
      <c r="BE3" s="37" t="s">
        <v>81</v>
      </c>
      <c r="BF3" s="46"/>
      <c r="BG3" s="37" t="s">
        <v>82</v>
      </c>
      <c r="BH3" s="37" t="s">
        <v>83</v>
      </c>
      <c r="BI3" s="37" t="s">
        <v>84</v>
      </c>
      <c r="BJ3" s="36" t="s">
        <v>85</v>
      </c>
      <c r="BK3" s="36" t="s">
        <v>86</v>
      </c>
      <c r="BL3" s="36" t="s">
        <v>87</v>
      </c>
      <c r="BM3" s="37" t="s">
        <v>88</v>
      </c>
      <c r="BN3" s="36" t="s">
        <v>89</v>
      </c>
      <c r="BO3" s="37" t="s">
        <v>90</v>
      </c>
      <c r="BP3" s="37" t="s">
        <v>91</v>
      </c>
      <c r="BQ3" s="37" t="s">
        <v>92</v>
      </c>
      <c r="BR3" s="36" t="s">
        <v>93</v>
      </c>
      <c r="BS3" s="36" t="s">
        <v>94</v>
      </c>
      <c r="BT3" s="36" t="s">
        <v>95</v>
      </c>
      <c r="BU3" s="36" t="s">
        <v>96</v>
      </c>
      <c r="BV3" s="47" t="s">
        <v>1</v>
      </c>
      <c r="BW3" s="37" t="s">
        <v>97</v>
      </c>
      <c r="BX3" s="37" t="s">
        <v>98</v>
      </c>
      <c r="BY3" s="37" t="s">
        <v>99</v>
      </c>
      <c r="BZ3" s="37" t="s">
        <v>100</v>
      </c>
      <c r="CA3" s="46" t="s">
        <v>101</v>
      </c>
      <c r="CB3" s="46" t="s">
        <v>102</v>
      </c>
      <c r="CC3" s="46" t="s">
        <v>103</v>
      </c>
      <c r="CD3" s="46" t="s">
        <v>104</v>
      </c>
      <c r="CE3" s="46" t="s">
        <v>105</v>
      </c>
      <c r="CF3" s="46" t="s">
        <v>106</v>
      </c>
      <c r="CG3" s="46" t="s">
        <v>107</v>
      </c>
      <c r="CH3" s="46" t="s">
        <v>108</v>
      </c>
      <c r="CI3" s="46" t="s">
        <v>109</v>
      </c>
      <c r="CJ3" s="46" t="s">
        <v>110</v>
      </c>
      <c r="CK3" s="46" t="s">
        <v>88</v>
      </c>
      <c r="CL3" s="46" t="s">
        <v>89</v>
      </c>
      <c r="CM3" s="46" t="s">
        <v>111</v>
      </c>
      <c r="CN3" s="46" t="s">
        <v>112</v>
      </c>
      <c r="CO3" s="48" t="s">
        <v>113</v>
      </c>
      <c r="CP3" s="48" t="s">
        <v>114</v>
      </c>
      <c r="CQ3" s="48" t="s">
        <v>115</v>
      </c>
      <c r="CR3" s="49" t="s">
        <v>116</v>
      </c>
      <c r="CS3" s="46" t="s">
        <v>117</v>
      </c>
      <c r="CT3" s="46" t="s">
        <v>118</v>
      </c>
      <c r="CU3" s="46" t="s">
        <v>119</v>
      </c>
      <c r="CV3" s="46" t="s">
        <v>120</v>
      </c>
      <c r="CW3" s="46" t="s">
        <v>121</v>
      </c>
      <c r="CX3" s="46" t="s">
        <v>122</v>
      </c>
      <c r="CY3" s="46" t="s">
        <v>123</v>
      </c>
      <c r="CZ3" s="46" t="s">
        <v>124</v>
      </c>
      <c r="DA3" s="46" t="s">
        <v>125</v>
      </c>
      <c r="DB3" s="46" t="s">
        <v>126</v>
      </c>
      <c r="DC3" s="50" t="s">
        <v>127</v>
      </c>
      <c r="DD3" s="50" t="s">
        <v>128</v>
      </c>
      <c r="DE3" s="50" t="s">
        <v>129</v>
      </c>
      <c r="DF3" s="50" t="s">
        <v>130</v>
      </c>
      <c r="DG3" s="50" t="s">
        <v>131</v>
      </c>
      <c r="DH3" s="50" t="s">
        <v>132</v>
      </c>
      <c r="DI3" s="50" t="s">
        <v>133</v>
      </c>
      <c r="DJ3" s="50" t="s">
        <v>134</v>
      </c>
      <c r="DK3" s="50" t="s">
        <v>135</v>
      </c>
      <c r="DL3" s="50" t="s">
        <v>136</v>
      </c>
      <c r="DM3" s="50" t="s">
        <v>137</v>
      </c>
      <c r="DN3" s="50" t="s">
        <v>138</v>
      </c>
      <c r="DO3" s="50" t="s">
        <v>139</v>
      </c>
      <c r="DP3" s="50" t="s">
        <v>140</v>
      </c>
      <c r="DQ3" s="50" t="s">
        <v>141</v>
      </c>
      <c r="DR3" s="51" t="s">
        <v>142</v>
      </c>
      <c r="DS3" s="50" t="s">
        <v>143</v>
      </c>
      <c r="DT3" s="51" t="s">
        <v>144</v>
      </c>
      <c r="DU3" s="51" t="s">
        <v>145</v>
      </c>
      <c r="DV3" s="50" t="s">
        <v>146</v>
      </c>
      <c r="DW3" s="50" t="s">
        <v>147</v>
      </c>
      <c r="DX3" s="50" t="s">
        <v>148</v>
      </c>
      <c r="DY3" s="50" t="s">
        <v>149</v>
      </c>
      <c r="DZ3" s="50" t="s">
        <v>150</v>
      </c>
      <c r="EA3" s="50" t="s">
        <v>151</v>
      </c>
      <c r="EB3" s="50" t="s">
        <v>152</v>
      </c>
      <c r="EC3" s="50" t="s">
        <v>153</v>
      </c>
      <c r="ED3" s="50" t="s">
        <v>154</v>
      </c>
      <c r="EE3" s="50" t="s">
        <v>155</v>
      </c>
      <c r="EF3" s="50" t="s">
        <v>156</v>
      </c>
      <c r="EG3" s="50" t="s">
        <v>157</v>
      </c>
      <c r="EH3" s="50" t="s">
        <v>158</v>
      </c>
      <c r="EI3" s="50" t="s">
        <v>159</v>
      </c>
      <c r="EJ3" s="50" t="s">
        <v>160</v>
      </c>
      <c r="EK3" s="50" t="s">
        <v>161</v>
      </c>
      <c r="EL3" s="50" t="s">
        <v>162</v>
      </c>
      <c r="EM3" s="50" t="s">
        <v>163</v>
      </c>
      <c r="EN3" s="50" t="s">
        <v>164</v>
      </c>
      <c r="EO3" s="50" t="s">
        <v>165</v>
      </c>
      <c r="EP3" s="50" t="s">
        <v>166</v>
      </c>
      <c r="EQ3" s="50" t="s">
        <v>167</v>
      </c>
      <c r="ER3" s="50" t="s">
        <v>168</v>
      </c>
      <c r="ES3" s="50" t="s">
        <v>169</v>
      </c>
      <c r="ET3" s="50" t="s">
        <v>170</v>
      </c>
      <c r="EU3" s="50" t="s">
        <v>171</v>
      </c>
      <c r="EV3" s="50" t="s">
        <v>172</v>
      </c>
      <c r="EW3" s="50" t="s">
        <v>173</v>
      </c>
      <c r="EX3" s="50" t="s">
        <v>174</v>
      </c>
      <c r="EY3" s="50" t="s">
        <v>175</v>
      </c>
      <c r="EZ3" s="50" t="s">
        <v>176</v>
      </c>
      <c r="FA3" s="50" t="s">
        <v>177</v>
      </c>
      <c r="FB3" s="50" t="s">
        <v>178</v>
      </c>
      <c r="FC3" s="50" t="s">
        <v>179</v>
      </c>
      <c r="FD3" s="50" t="s">
        <v>180</v>
      </c>
      <c r="FE3" s="50" t="s">
        <v>181</v>
      </c>
      <c r="FF3" s="50" t="s">
        <v>182</v>
      </c>
      <c r="FG3" s="50" t="s">
        <v>183</v>
      </c>
      <c r="FH3" s="50" t="s">
        <v>184</v>
      </c>
      <c r="FI3" s="50" t="s">
        <v>185</v>
      </c>
      <c r="FJ3" s="50" t="s">
        <v>186</v>
      </c>
      <c r="FK3" s="50" t="s">
        <v>187</v>
      </c>
      <c r="FL3" s="50" t="s">
        <v>188</v>
      </c>
      <c r="FM3" s="50" t="s">
        <v>189</v>
      </c>
      <c r="FN3" s="50" t="s">
        <v>190</v>
      </c>
      <c r="FO3" s="50" t="s">
        <v>191</v>
      </c>
      <c r="GJ3" s="52"/>
      <c r="GK3" s="52"/>
      <c r="GL3" s="52"/>
    </row>
    <row r="4" spans="1:194">
      <c r="A4" s="53">
        <v>47</v>
      </c>
      <c r="B4" s="53" t="s">
        <v>192</v>
      </c>
      <c r="C4" s="54" t="s">
        <v>193</v>
      </c>
      <c r="D4" s="55" t="s">
        <v>194</v>
      </c>
      <c r="E4" s="56"/>
      <c r="F4" s="54" t="s">
        <v>195</v>
      </c>
      <c r="G4" s="57">
        <v>2023</v>
      </c>
      <c r="H4" s="56">
        <v>77</v>
      </c>
      <c r="I4" s="58">
        <v>82</v>
      </c>
      <c r="J4" s="58">
        <v>0.93902439024390205</v>
      </c>
      <c r="K4" s="59">
        <v>352</v>
      </c>
      <c r="L4" s="56"/>
      <c r="M4" s="56"/>
      <c r="N4" s="60">
        <v>232.95454545454601</v>
      </c>
      <c r="O4" s="56"/>
      <c r="P4" s="56"/>
      <c r="Q4" s="56"/>
      <c r="R4" s="56"/>
      <c r="S4" s="56"/>
      <c r="T4" s="61">
        <v>281.39999999999998</v>
      </c>
      <c r="U4" s="56"/>
      <c r="V4" s="56"/>
      <c r="W4" s="56"/>
      <c r="X4" s="56"/>
      <c r="Y4" s="56"/>
      <c r="Z4" s="56"/>
      <c r="AA4" s="56">
        <v>175</v>
      </c>
      <c r="AB4" s="56"/>
      <c r="AC4" s="56"/>
      <c r="AD4" s="56"/>
      <c r="AE4" s="56">
        <v>28</v>
      </c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62" t="b">
        <f>FALSE()</f>
        <v>0</v>
      </c>
      <c r="AQ4" s="56"/>
      <c r="AR4" s="56">
        <v>8</v>
      </c>
      <c r="AS4" s="63">
        <v>100000</v>
      </c>
      <c r="AT4" s="63"/>
      <c r="AU4" s="56"/>
      <c r="AV4" s="56"/>
      <c r="AW4" s="56"/>
      <c r="AX4" s="64"/>
      <c r="AY4" s="65">
        <v>1820</v>
      </c>
      <c r="AZ4" s="65">
        <v>1450</v>
      </c>
      <c r="BA4" s="65">
        <v>160</v>
      </c>
      <c r="BB4" s="66">
        <v>422.24</v>
      </c>
      <c r="BC4" s="67">
        <v>135.7840702103</v>
      </c>
      <c r="BD4" s="68">
        <v>0.32158031027448802</v>
      </c>
      <c r="BE4" s="69">
        <v>286.45592978970001</v>
      </c>
      <c r="BF4" s="56"/>
      <c r="BG4" s="56"/>
      <c r="BH4" s="70"/>
      <c r="BI4" s="70"/>
      <c r="BJ4" s="56"/>
      <c r="BK4" s="56"/>
      <c r="BL4" s="56"/>
      <c r="BM4" s="59"/>
      <c r="BN4" s="66">
        <v>194.202349374763</v>
      </c>
      <c r="BO4" s="59"/>
      <c r="BP4" s="59"/>
      <c r="BQ4" s="71"/>
      <c r="BR4" s="56"/>
      <c r="BS4" s="56"/>
      <c r="BT4" s="56"/>
      <c r="BU4" s="56"/>
      <c r="BV4" s="56"/>
      <c r="BW4" s="56"/>
      <c r="BX4" s="56"/>
      <c r="BY4" s="56"/>
      <c r="BZ4" s="56"/>
      <c r="CA4" s="54" t="s">
        <v>196</v>
      </c>
      <c r="CB4" s="54" t="s">
        <v>197</v>
      </c>
      <c r="CC4" s="56" t="s">
        <v>198</v>
      </c>
      <c r="CD4" s="72" t="s">
        <v>199</v>
      </c>
      <c r="CE4" s="57" t="s">
        <v>200</v>
      </c>
      <c r="CF4" s="73"/>
      <c r="CG4" s="74">
        <v>78</v>
      </c>
      <c r="CH4" s="74">
        <v>3.67</v>
      </c>
      <c r="CI4" s="73">
        <v>286.26</v>
      </c>
      <c r="CJ4" s="74">
        <v>1.083</v>
      </c>
      <c r="CK4" s="75">
        <v>264.32132963988897</v>
      </c>
      <c r="CL4" s="75">
        <v>603.9</v>
      </c>
      <c r="CM4" s="76">
        <v>1.48E-3</v>
      </c>
      <c r="CN4" s="77"/>
      <c r="CO4" s="56"/>
      <c r="CP4" s="56">
        <v>96</v>
      </c>
      <c r="CQ4" s="56">
        <v>3</v>
      </c>
      <c r="CR4" s="78">
        <v>288</v>
      </c>
      <c r="CS4" s="79">
        <v>44.644444444444403</v>
      </c>
      <c r="CT4" s="79">
        <v>12.3</v>
      </c>
      <c r="CU4" s="79">
        <v>26.877777777777801</v>
      </c>
      <c r="CV4" s="79">
        <v>67.422222222222203</v>
      </c>
      <c r="CW4" s="79">
        <v>0</v>
      </c>
      <c r="CX4" s="79">
        <v>8.1999999999999993</v>
      </c>
      <c r="CY4" s="79">
        <v>14.1222222222222</v>
      </c>
      <c r="CZ4" s="79">
        <v>45.1</v>
      </c>
      <c r="DA4" s="79">
        <v>26.877777777777801</v>
      </c>
      <c r="DB4" s="80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2"/>
      <c r="EK4" s="82"/>
      <c r="EL4" s="82"/>
      <c r="EM4" s="82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</row>
    <row r="5" spans="1:194">
      <c r="A5" s="53">
        <v>30</v>
      </c>
      <c r="B5" s="53" t="s">
        <v>201</v>
      </c>
      <c r="C5" s="54" t="s">
        <v>193</v>
      </c>
      <c r="D5" s="55" t="s">
        <v>202</v>
      </c>
      <c r="E5" s="56"/>
      <c r="F5" s="54" t="s">
        <v>195</v>
      </c>
      <c r="G5" s="57">
        <v>2021</v>
      </c>
      <c r="H5" s="65">
        <v>51.5</v>
      </c>
      <c r="I5" s="83">
        <v>55</v>
      </c>
      <c r="J5" s="58">
        <v>0.93636363636363595</v>
      </c>
      <c r="K5" s="59">
        <v>352</v>
      </c>
      <c r="L5" s="56"/>
      <c r="M5" s="56"/>
      <c r="N5" s="60">
        <v>156.25</v>
      </c>
      <c r="O5" s="56"/>
      <c r="P5" s="56"/>
      <c r="Q5" s="56"/>
      <c r="R5" s="56"/>
      <c r="S5" s="56"/>
      <c r="T5" s="56">
        <v>141</v>
      </c>
      <c r="U5" s="56"/>
      <c r="V5" s="56"/>
      <c r="W5" s="56"/>
      <c r="X5" s="56"/>
      <c r="Y5" s="56"/>
      <c r="Z5" s="56"/>
      <c r="AA5" s="56">
        <v>118</v>
      </c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62" t="b">
        <f>FALSE()</f>
        <v>0</v>
      </c>
      <c r="AQ5" s="56"/>
      <c r="AR5" s="56">
        <v>8</v>
      </c>
      <c r="AS5" s="63">
        <v>100000</v>
      </c>
      <c r="AT5" s="63"/>
      <c r="AU5" s="65">
        <v>350</v>
      </c>
      <c r="AV5" s="56">
        <v>206.01599999999999</v>
      </c>
      <c r="AW5" s="56">
        <v>143.98400000000001</v>
      </c>
      <c r="AX5" s="64">
        <v>0.58861714285714295</v>
      </c>
      <c r="AY5" s="65">
        <v>1440</v>
      </c>
      <c r="AZ5" s="65">
        <v>1450</v>
      </c>
      <c r="BA5" s="65">
        <v>160</v>
      </c>
      <c r="BB5" s="66">
        <v>334.08</v>
      </c>
      <c r="BC5" s="67"/>
      <c r="BD5" s="68"/>
      <c r="BE5" s="68"/>
      <c r="BF5" s="56"/>
      <c r="BG5" s="56"/>
      <c r="BH5" s="70"/>
      <c r="BI5" s="70"/>
      <c r="BJ5" s="56"/>
      <c r="BK5" s="56"/>
      <c r="BL5" s="56"/>
      <c r="BM5" s="59">
        <v>157.142857142857</v>
      </c>
      <c r="BN5" s="66">
        <v>164.63122605364001</v>
      </c>
      <c r="BO5" s="59">
        <v>402.857142857143</v>
      </c>
      <c r="BP5" s="59"/>
      <c r="BQ5" s="71">
        <v>337.142857142857</v>
      </c>
      <c r="BR5" s="66">
        <v>856.45963636363604</v>
      </c>
      <c r="BS5" s="56"/>
      <c r="BT5" s="56"/>
      <c r="BU5" s="56"/>
      <c r="BV5" s="56"/>
      <c r="BW5" s="56">
        <v>8</v>
      </c>
      <c r="BX5" s="56">
        <v>24</v>
      </c>
      <c r="BY5" s="56"/>
      <c r="BZ5" s="56"/>
      <c r="CA5" s="54"/>
      <c r="CB5" s="54"/>
      <c r="CC5" s="56"/>
      <c r="CD5" s="56"/>
      <c r="CE5" s="73"/>
      <c r="CF5" s="73"/>
      <c r="CG5" s="73"/>
      <c r="CH5" s="73"/>
      <c r="CI5" s="73"/>
      <c r="CJ5" s="73"/>
      <c r="CK5" s="75">
        <v>253</v>
      </c>
      <c r="CL5" s="75"/>
      <c r="CM5" s="77"/>
      <c r="CN5" s="77"/>
      <c r="CO5" s="56"/>
      <c r="CP5" s="56"/>
      <c r="CQ5" s="56"/>
      <c r="CR5" s="84"/>
      <c r="CS5" s="53"/>
      <c r="CT5" s="53"/>
      <c r="CU5" s="53"/>
      <c r="CV5" s="53"/>
      <c r="CW5" s="53"/>
      <c r="CX5" s="53"/>
      <c r="CY5" s="53"/>
      <c r="CZ5" s="53"/>
      <c r="DA5" s="53"/>
      <c r="DB5" s="80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2"/>
      <c r="EK5" s="82"/>
      <c r="EL5" s="82"/>
      <c r="EM5" s="82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</row>
    <row r="6" spans="1:194">
      <c r="A6" s="53">
        <v>55</v>
      </c>
      <c r="B6" s="53" t="s">
        <v>203</v>
      </c>
      <c r="C6" s="54" t="s">
        <v>193</v>
      </c>
      <c r="D6" s="55" t="s">
        <v>204</v>
      </c>
      <c r="E6" s="56"/>
      <c r="F6" s="54" t="s">
        <v>195</v>
      </c>
      <c r="G6" s="57">
        <v>2021</v>
      </c>
      <c r="H6" s="56">
        <v>76.599999999999994</v>
      </c>
      <c r="I6" s="58">
        <v>82</v>
      </c>
      <c r="J6" s="58">
        <v>0.93414634146341502</v>
      </c>
      <c r="K6" s="59">
        <v>352</v>
      </c>
      <c r="L6" s="56"/>
      <c r="M6" s="56"/>
      <c r="N6" s="60">
        <v>232.95454545454601</v>
      </c>
      <c r="O6" s="56"/>
      <c r="P6" s="56"/>
      <c r="Q6" s="56"/>
      <c r="R6" s="56"/>
      <c r="S6" s="56"/>
      <c r="T6" s="61">
        <v>166.666666666667</v>
      </c>
      <c r="U6" s="56"/>
      <c r="V6" s="56"/>
      <c r="W6" s="56"/>
      <c r="X6" s="56"/>
      <c r="Y6" s="56"/>
      <c r="Z6" s="56"/>
      <c r="AA6" s="56">
        <v>135</v>
      </c>
      <c r="AB6" s="56"/>
      <c r="AC6" s="56"/>
      <c r="AD6" s="56">
        <v>29</v>
      </c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62" t="b">
        <f>FALSE()</f>
        <v>0</v>
      </c>
      <c r="AQ6" s="56"/>
      <c r="AR6" s="56">
        <v>8</v>
      </c>
      <c r="AS6" s="63">
        <v>100000</v>
      </c>
      <c r="AT6" s="63"/>
      <c r="AU6" s="56">
        <v>489</v>
      </c>
      <c r="AV6" s="56">
        <v>309.024</v>
      </c>
      <c r="AW6" s="56">
        <v>179.976</v>
      </c>
      <c r="AX6" s="64">
        <v>0.63195092024539901</v>
      </c>
      <c r="AY6" s="65">
        <v>1820</v>
      </c>
      <c r="AZ6" s="65">
        <v>1450</v>
      </c>
      <c r="BA6" s="65">
        <v>160</v>
      </c>
      <c r="BB6" s="66">
        <v>422.24</v>
      </c>
      <c r="BC6" s="67">
        <v>135.7840702103</v>
      </c>
      <c r="BD6" s="68">
        <v>0.32158031027448802</v>
      </c>
      <c r="BE6" s="69">
        <v>286.45592978970001</v>
      </c>
      <c r="BF6" s="56"/>
      <c r="BG6" s="56"/>
      <c r="BH6" s="70"/>
      <c r="BI6" s="70"/>
      <c r="BJ6" s="56"/>
      <c r="BK6" s="56"/>
      <c r="BL6" s="56"/>
      <c r="BM6" s="59">
        <v>167.689161554192</v>
      </c>
      <c r="BN6" s="66">
        <v>194.202349374763</v>
      </c>
      <c r="BO6" s="59"/>
      <c r="BP6" s="59"/>
      <c r="BQ6" s="66">
        <v>276.07361963190198</v>
      </c>
      <c r="BR6" s="66">
        <v>858.21138211382095</v>
      </c>
      <c r="BS6" s="56"/>
      <c r="BT6" s="56"/>
      <c r="BU6" s="56"/>
      <c r="BV6" s="56"/>
      <c r="BW6" s="56"/>
      <c r="BX6" s="56"/>
      <c r="BY6" s="56"/>
      <c r="BZ6" s="56"/>
      <c r="CA6" s="54" t="s">
        <v>196</v>
      </c>
      <c r="CB6" s="54" t="s">
        <v>197</v>
      </c>
      <c r="CC6" s="56" t="s">
        <v>198</v>
      </c>
      <c r="CD6" s="72" t="s">
        <v>199</v>
      </c>
      <c r="CE6" s="57" t="s">
        <v>200</v>
      </c>
      <c r="CF6" s="73"/>
      <c r="CG6" s="74">
        <v>78</v>
      </c>
      <c r="CH6" s="74">
        <v>3.67</v>
      </c>
      <c r="CI6" s="73">
        <v>286.26</v>
      </c>
      <c r="CJ6" s="74">
        <v>1.083</v>
      </c>
      <c r="CK6" s="75">
        <v>264.32132963988897</v>
      </c>
      <c r="CL6" s="75">
        <v>603.9</v>
      </c>
      <c r="CM6" s="76">
        <v>1.48E-3</v>
      </c>
      <c r="CN6" s="77"/>
      <c r="CO6" s="56"/>
      <c r="CP6" s="56">
        <v>96</v>
      </c>
      <c r="CQ6" s="56">
        <v>3</v>
      </c>
      <c r="CR6" s="78">
        <v>288</v>
      </c>
      <c r="CS6" s="79">
        <v>44.644444444444403</v>
      </c>
      <c r="CT6" s="79">
        <v>12.3</v>
      </c>
      <c r="CU6" s="79">
        <v>26.877777777777801</v>
      </c>
      <c r="CV6" s="79">
        <v>67.422222222222203</v>
      </c>
      <c r="CW6" s="79">
        <v>0</v>
      </c>
      <c r="CX6" s="79">
        <v>8.1999999999999993</v>
      </c>
      <c r="CY6" s="79">
        <v>14.1222222222222</v>
      </c>
      <c r="CZ6" s="79">
        <v>45.1</v>
      </c>
      <c r="DA6" s="79">
        <v>26.877777777777801</v>
      </c>
      <c r="DB6" s="85">
        <v>0.50213587820949801</v>
      </c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2"/>
      <c r="EK6" s="82"/>
      <c r="EL6" s="82"/>
      <c r="EM6" s="82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</row>
    <row r="7" spans="1:194">
      <c r="A7" s="53">
        <v>50</v>
      </c>
      <c r="B7" s="53" t="s">
        <v>205</v>
      </c>
      <c r="C7" s="54" t="s">
        <v>193</v>
      </c>
      <c r="D7" s="55" t="s">
        <v>206</v>
      </c>
      <c r="E7" s="56"/>
      <c r="F7" s="54" t="s">
        <v>195</v>
      </c>
      <c r="G7" s="57">
        <v>2021</v>
      </c>
      <c r="H7" s="56">
        <v>76.599999999999994</v>
      </c>
      <c r="I7" s="58">
        <v>82</v>
      </c>
      <c r="J7" s="58">
        <v>0.93414634146341502</v>
      </c>
      <c r="K7" s="59">
        <v>352</v>
      </c>
      <c r="L7" s="56"/>
      <c r="M7" s="56"/>
      <c r="N7" s="60">
        <v>232.95454545454601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62" t="b">
        <f>FALSE()</f>
        <v>0</v>
      </c>
      <c r="AQ7" s="56"/>
      <c r="AR7" s="56">
        <v>8</v>
      </c>
      <c r="AS7" s="63">
        <v>100000</v>
      </c>
      <c r="AT7" s="63"/>
      <c r="AU7" s="56">
        <v>489</v>
      </c>
      <c r="AV7" s="56">
        <v>309.024</v>
      </c>
      <c r="AW7" s="56">
        <v>179.976</v>
      </c>
      <c r="AX7" s="64">
        <v>0.63195092024539901</v>
      </c>
      <c r="AY7" s="65">
        <v>1820</v>
      </c>
      <c r="AZ7" s="65">
        <v>1450</v>
      </c>
      <c r="BA7" s="65">
        <v>160</v>
      </c>
      <c r="BB7" s="66">
        <v>422.24</v>
      </c>
      <c r="BC7" s="67">
        <v>135.7840702103</v>
      </c>
      <c r="BD7" s="68">
        <v>0.32158031027448802</v>
      </c>
      <c r="BE7" s="69">
        <v>286.45592978970001</v>
      </c>
      <c r="BF7" s="56"/>
      <c r="BG7" s="56"/>
      <c r="BH7" s="70"/>
      <c r="BI7" s="70"/>
      <c r="BJ7" s="56"/>
      <c r="BK7" s="56"/>
      <c r="BL7" s="56"/>
      <c r="BM7" s="59">
        <v>167.689161554192</v>
      </c>
      <c r="BN7" s="66">
        <v>194.202349374763</v>
      </c>
      <c r="BO7" s="59"/>
      <c r="BP7" s="59"/>
      <c r="BQ7" s="71"/>
      <c r="BR7" s="56"/>
      <c r="BS7" s="56"/>
      <c r="BT7" s="56"/>
      <c r="BU7" s="56"/>
      <c r="BV7" s="56"/>
      <c r="BW7" s="56"/>
      <c r="BX7" s="56"/>
      <c r="BY7" s="56"/>
      <c r="BZ7" s="56"/>
      <c r="CA7" s="54" t="s">
        <v>196</v>
      </c>
      <c r="CB7" s="54" t="s">
        <v>197</v>
      </c>
      <c r="CC7" s="56" t="s">
        <v>198</v>
      </c>
      <c r="CD7" s="72" t="s">
        <v>199</v>
      </c>
      <c r="CE7" s="57" t="s">
        <v>200</v>
      </c>
      <c r="CF7" s="73"/>
      <c r="CG7" s="74">
        <v>78</v>
      </c>
      <c r="CH7" s="74">
        <v>3.67</v>
      </c>
      <c r="CI7" s="73">
        <v>286.26</v>
      </c>
      <c r="CJ7" s="74">
        <v>1.083</v>
      </c>
      <c r="CK7" s="75">
        <v>264.32132963988897</v>
      </c>
      <c r="CL7" s="75">
        <v>603.9</v>
      </c>
      <c r="CM7" s="76">
        <v>1.48E-3</v>
      </c>
      <c r="CN7" s="77"/>
      <c r="CO7" s="56"/>
      <c r="CP7" s="56">
        <v>96</v>
      </c>
      <c r="CQ7" s="56">
        <v>3</v>
      </c>
      <c r="CR7" s="78">
        <v>288</v>
      </c>
      <c r="CS7" s="79">
        <v>44.644444444444403</v>
      </c>
      <c r="CT7" s="79">
        <v>12.3</v>
      </c>
      <c r="CU7" s="79">
        <v>26.877777777777801</v>
      </c>
      <c r="CV7" s="79">
        <v>67.422222222222203</v>
      </c>
      <c r="CW7" s="79">
        <v>0</v>
      </c>
      <c r="CX7" s="79">
        <v>8.1999999999999993</v>
      </c>
      <c r="CY7" s="79">
        <v>14.1222222222222</v>
      </c>
      <c r="CZ7" s="79">
        <v>45.1</v>
      </c>
      <c r="DA7" s="79">
        <v>26.877777777777801</v>
      </c>
      <c r="DB7" s="85">
        <v>0.50213587820949801</v>
      </c>
      <c r="DC7" s="81"/>
      <c r="DD7" s="81"/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2"/>
      <c r="EK7" s="82"/>
      <c r="EL7" s="82"/>
      <c r="EM7" s="82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</row>
    <row r="8" spans="1:194">
      <c r="A8" s="53">
        <v>56</v>
      </c>
      <c r="B8" s="53" t="s">
        <v>207</v>
      </c>
      <c r="C8" s="54" t="s">
        <v>193</v>
      </c>
      <c r="D8" s="55" t="s">
        <v>208</v>
      </c>
      <c r="E8" s="56"/>
      <c r="F8" s="54" t="s">
        <v>195</v>
      </c>
      <c r="G8" s="57">
        <v>2021</v>
      </c>
      <c r="H8" s="56">
        <v>76.599999999999994</v>
      </c>
      <c r="I8" s="58">
        <v>82</v>
      </c>
      <c r="J8" s="58">
        <v>0.93414634146341502</v>
      </c>
      <c r="K8" s="59">
        <v>352</v>
      </c>
      <c r="L8" s="56"/>
      <c r="M8" s="56"/>
      <c r="N8" s="60">
        <v>232.95454545454601</v>
      </c>
      <c r="O8" s="56"/>
      <c r="P8" s="56"/>
      <c r="Q8" s="56"/>
      <c r="R8" s="56"/>
      <c r="S8" s="56"/>
      <c r="T8" s="56">
        <v>248</v>
      </c>
      <c r="U8" s="56"/>
      <c r="V8" s="56"/>
      <c r="W8" s="56"/>
      <c r="X8" s="56"/>
      <c r="Y8" s="56"/>
      <c r="Z8" s="56"/>
      <c r="AA8" s="56">
        <v>135</v>
      </c>
      <c r="AB8" s="56"/>
      <c r="AC8" s="56"/>
      <c r="AD8" s="56">
        <v>36</v>
      </c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62" t="b">
        <f>FALSE()</f>
        <v>0</v>
      </c>
      <c r="AQ8" s="56"/>
      <c r="AR8" s="56">
        <v>8</v>
      </c>
      <c r="AS8" s="63">
        <v>100000</v>
      </c>
      <c r="AT8" s="63"/>
      <c r="AU8" s="56">
        <v>489</v>
      </c>
      <c r="AV8" s="56">
        <v>309.024</v>
      </c>
      <c r="AW8" s="56">
        <v>179.976</v>
      </c>
      <c r="AX8" s="64">
        <v>0.63195092024539901</v>
      </c>
      <c r="AY8" s="65">
        <v>1820</v>
      </c>
      <c r="AZ8" s="65">
        <v>1450</v>
      </c>
      <c r="BA8" s="65">
        <v>160</v>
      </c>
      <c r="BB8" s="66">
        <v>422.24</v>
      </c>
      <c r="BC8" s="67">
        <v>135.7840702103</v>
      </c>
      <c r="BD8" s="68">
        <v>0.32158031027448802</v>
      </c>
      <c r="BE8" s="69">
        <v>286.45592978970001</v>
      </c>
      <c r="BF8" s="56"/>
      <c r="BG8" s="56"/>
      <c r="BH8" s="70"/>
      <c r="BI8" s="70"/>
      <c r="BJ8" s="56"/>
      <c r="BK8" s="56"/>
      <c r="BL8" s="56"/>
      <c r="BM8" s="59">
        <v>167.689161554192</v>
      </c>
      <c r="BN8" s="66">
        <v>194.202349374763</v>
      </c>
      <c r="BO8" s="59">
        <v>507.15746421267897</v>
      </c>
      <c r="BP8" s="59"/>
      <c r="BQ8" s="71">
        <v>276.07361963190198</v>
      </c>
      <c r="BR8" s="66">
        <v>1277.0185365853699</v>
      </c>
      <c r="BS8" s="56"/>
      <c r="BT8" s="56"/>
      <c r="BU8" s="56"/>
      <c r="BV8" s="56"/>
      <c r="BW8" s="56"/>
      <c r="BX8" s="56"/>
      <c r="BY8" s="56"/>
      <c r="BZ8" s="56"/>
      <c r="CA8" s="54" t="s">
        <v>196</v>
      </c>
      <c r="CB8" s="54" t="s">
        <v>197</v>
      </c>
      <c r="CC8" s="56" t="s">
        <v>198</v>
      </c>
      <c r="CD8" s="72" t="s">
        <v>199</v>
      </c>
      <c r="CE8" s="57" t="s">
        <v>200</v>
      </c>
      <c r="CF8" s="73"/>
      <c r="CG8" s="74">
        <v>78</v>
      </c>
      <c r="CH8" s="74">
        <v>3.67</v>
      </c>
      <c r="CI8" s="73">
        <v>286.26</v>
      </c>
      <c r="CJ8" s="74">
        <v>1.083</v>
      </c>
      <c r="CK8" s="75">
        <v>264.32132963988897</v>
      </c>
      <c r="CL8" s="75">
        <v>603.9</v>
      </c>
      <c r="CM8" s="76">
        <v>1.48E-3</v>
      </c>
      <c r="CN8" s="77"/>
      <c r="CO8" s="56"/>
      <c r="CP8" s="56">
        <v>96</v>
      </c>
      <c r="CQ8" s="56">
        <v>3</v>
      </c>
      <c r="CR8" s="78">
        <v>288</v>
      </c>
      <c r="CS8" s="79">
        <v>44.644444444444403</v>
      </c>
      <c r="CT8" s="79">
        <v>12.3</v>
      </c>
      <c r="CU8" s="79">
        <v>26.877777777777801</v>
      </c>
      <c r="CV8" s="79">
        <v>67.422222222222203</v>
      </c>
      <c r="CW8" s="79">
        <v>0</v>
      </c>
      <c r="CX8" s="79">
        <v>8.1999999999999993</v>
      </c>
      <c r="CY8" s="79">
        <v>14.1222222222222</v>
      </c>
      <c r="CZ8" s="79">
        <v>45.1</v>
      </c>
      <c r="DA8" s="79">
        <v>26.877777777777801</v>
      </c>
      <c r="DB8" s="85">
        <v>0.50213587820949801</v>
      </c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2"/>
      <c r="EK8" s="82"/>
      <c r="EL8" s="82"/>
      <c r="EM8" s="82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</row>
    <row r="9" spans="1:194">
      <c r="A9" s="53">
        <v>56</v>
      </c>
      <c r="B9" s="53" t="s">
        <v>209</v>
      </c>
      <c r="C9" s="54" t="s">
        <v>193</v>
      </c>
      <c r="D9" s="55" t="s">
        <v>210</v>
      </c>
      <c r="E9" s="56"/>
      <c r="F9" s="54" t="s">
        <v>195</v>
      </c>
      <c r="G9" s="57">
        <v>2021</v>
      </c>
      <c r="H9" s="56">
        <v>52</v>
      </c>
      <c r="I9" s="58">
        <v>55</v>
      </c>
      <c r="J9" s="58">
        <v>0.94545454545454499</v>
      </c>
      <c r="K9" s="59">
        <v>352.32</v>
      </c>
      <c r="L9" s="56"/>
      <c r="M9" s="56"/>
      <c r="N9" s="56">
        <v>156</v>
      </c>
      <c r="O9" s="86">
        <v>7.1040000000000006E-2</v>
      </c>
      <c r="P9" s="56"/>
      <c r="Q9" s="56"/>
      <c r="R9" s="56"/>
      <c r="S9" s="56"/>
      <c r="T9" s="61">
        <v>138.888888888889</v>
      </c>
      <c r="U9" s="56"/>
      <c r="V9" s="56"/>
      <c r="W9" s="56"/>
      <c r="X9" s="56"/>
      <c r="Y9" s="56"/>
      <c r="Z9" s="56"/>
      <c r="AA9" s="56">
        <v>118</v>
      </c>
      <c r="AB9" s="56"/>
      <c r="AC9" s="56"/>
      <c r="AD9" s="56"/>
      <c r="AE9" s="56">
        <v>33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62" t="b">
        <f>FALSE()</f>
        <v>0</v>
      </c>
      <c r="AQ9" s="56"/>
      <c r="AR9" s="56">
        <v>8</v>
      </c>
      <c r="AS9" s="63">
        <v>100000</v>
      </c>
      <c r="AT9" s="63"/>
      <c r="AU9" s="65">
        <v>350</v>
      </c>
      <c r="AV9" s="56">
        <v>207.93600000000001</v>
      </c>
      <c r="AW9" s="56">
        <v>142.06399999999999</v>
      </c>
      <c r="AX9" s="64">
        <v>0.59410285714285704</v>
      </c>
      <c r="AY9" s="65">
        <v>1440</v>
      </c>
      <c r="AZ9" s="65">
        <v>1450</v>
      </c>
      <c r="BA9" s="65">
        <v>160</v>
      </c>
      <c r="BB9" s="66">
        <v>334.08</v>
      </c>
      <c r="BC9" s="67">
        <v>91.074681238615696</v>
      </c>
      <c r="BD9" s="68">
        <v>0.27261338972286803</v>
      </c>
      <c r="BE9" s="69">
        <v>243.00531876138399</v>
      </c>
      <c r="BF9" s="56"/>
      <c r="BG9" s="56"/>
      <c r="BH9" s="70"/>
      <c r="BI9" s="70"/>
      <c r="BJ9" s="56"/>
      <c r="BK9" s="56"/>
      <c r="BL9" s="56"/>
      <c r="BM9" s="59">
        <v>157.142857142857</v>
      </c>
      <c r="BN9" s="66">
        <v>164.63122605364001</v>
      </c>
      <c r="BO9" s="59">
        <v>396.82539682539698</v>
      </c>
      <c r="BP9" s="59"/>
      <c r="BQ9" s="71">
        <v>337.142857142857</v>
      </c>
      <c r="BR9" s="56"/>
      <c r="BS9" s="56"/>
      <c r="BT9" s="56"/>
      <c r="BU9" s="56"/>
      <c r="BV9" s="56"/>
      <c r="BW9" s="56"/>
      <c r="BX9" s="56"/>
      <c r="BY9" s="56"/>
      <c r="BZ9" s="56"/>
      <c r="CA9" s="54" t="s">
        <v>196</v>
      </c>
      <c r="CB9" s="54" t="s">
        <v>197</v>
      </c>
      <c r="CC9" s="56" t="s">
        <v>198</v>
      </c>
      <c r="CD9" s="72" t="s">
        <v>199</v>
      </c>
      <c r="CE9" s="57" t="s">
        <v>200</v>
      </c>
      <c r="CF9" s="73"/>
      <c r="CG9" s="74">
        <v>78</v>
      </c>
      <c r="CH9" s="74">
        <v>3.67</v>
      </c>
      <c r="CI9" s="73">
        <v>286.26</v>
      </c>
      <c r="CJ9" s="74">
        <v>1.083</v>
      </c>
      <c r="CK9" s="75">
        <v>264.32132963988897</v>
      </c>
      <c r="CL9" s="75">
        <v>603.9</v>
      </c>
      <c r="CM9" s="76">
        <v>1.48E-3</v>
      </c>
      <c r="CN9" s="77"/>
      <c r="CO9" s="56"/>
      <c r="CP9" s="56">
        <v>96</v>
      </c>
      <c r="CQ9" s="56">
        <v>2</v>
      </c>
      <c r="CR9" s="84">
        <v>192</v>
      </c>
      <c r="CS9" s="79">
        <v>29.9444444444444</v>
      </c>
      <c r="CT9" s="79">
        <v>8.25</v>
      </c>
      <c r="CU9" s="79">
        <v>18.0277777777778</v>
      </c>
      <c r="CV9" s="79">
        <v>45.2222222222222</v>
      </c>
      <c r="CW9" s="79">
        <v>0</v>
      </c>
      <c r="CX9" s="79">
        <v>5.5</v>
      </c>
      <c r="CY9" s="79">
        <v>9.4722222222222197</v>
      </c>
      <c r="CZ9" s="79">
        <v>30.25</v>
      </c>
      <c r="DA9" s="79">
        <v>18.0277777777778</v>
      </c>
      <c r="DB9" s="85">
        <v>0.470555555555556</v>
      </c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2"/>
      <c r="EK9" s="82"/>
      <c r="EL9" s="82"/>
      <c r="EM9" s="82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</row>
    <row r="10" spans="1:194">
      <c r="A10" s="53">
        <v>52</v>
      </c>
      <c r="B10" s="53" t="s">
        <v>211</v>
      </c>
      <c r="C10" s="54" t="s">
        <v>193</v>
      </c>
      <c r="D10" s="55" t="s">
        <v>212</v>
      </c>
      <c r="E10" s="56"/>
      <c r="F10" s="54" t="s">
        <v>195</v>
      </c>
      <c r="G10" s="57">
        <v>2021</v>
      </c>
      <c r="H10" s="56">
        <v>76.599999999999994</v>
      </c>
      <c r="I10" s="58">
        <v>82</v>
      </c>
      <c r="J10" s="58">
        <v>0.93414634146341502</v>
      </c>
      <c r="K10" s="59">
        <v>352</v>
      </c>
      <c r="L10" s="56"/>
      <c r="M10" s="56"/>
      <c r="N10" s="60">
        <v>232.95454545454601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62" t="b">
        <f>FALSE()</f>
        <v>0</v>
      </c>
      <c r="AQ10" s="56"/>
      <c r="AR10" s="56">
        <v>8</v>
      </c>
      <c r="AS10" s="63">
        <v>100000</v>
      </c>
      <c r="AT10" s="63"/>
      <c r="AU10" s="56">
        <v>489</v>
      </c>
      <c r="AV10" s="56">
        <v>309.024</v>
      </c>
      <c r="AW10" s="56">
        <v>179.976</v>
      </c>
      <c r="AX10" s="64">
        <v>0.63195092024539901</v>
      </c>
      <c r="AY10" s="65">
        <v>1820</v>
      </c>
      <c r="AZ10" s="65">
        <v>1450</v>
      </c>
      <c r="BA10" s="65">
        <v>160</v>
      </c>
      <c r="BB10" s="66">
        <v>422.24</v>
      </c>
      <c r="BC10" s="67">
        <v>135.7840702103</v>
      </c>
      <c r="BD10" s="68">
        <v>0.32158031027448802</v>
      </c>
      <c r="BE10" s="69">
        <v>286.45592978970001</v>
      </c>
      <c r="BF10" s="56"/>
      <c r="BG10" s="56"/>
      <c r="BH10" s="70"/>
      <c r="BI10" s="70"/>
      <c r="BJ10" s="56"/>
      <c r="BK10" s="56"/>
      <c r="BL10" s="56"/>
      <c r="BM10" s="59">
        <v>167.689161554192</v>
      </c>
      <c r="BN10" s="66">
        <v>194.202349374763</v>
      </c>
      <c r="BO10" s="59"/>
      <c r="BP10" s="59"/>
      <c r="BQ10" s="71"/>
      <c r="BR10" s="56"/>
      <c r="BS10" s="56"/>
      <c r="BT10" s="56"/>
      <c r="BU10" s="56"/>
      <c r="BV10" s="56"/>
      <c r="BW10" s="56">
        <v>12</v>
      </c>
      <c r="BX10" s="56">
        <v>24</v>
      </c>
      <c r="BY10" s="56"/>
      <c r="BZ10" s="56"/>
      <c r="CA10" s="54" t="s">
        <v>196</v>
      </c>
      <c r="CB10" s="54" t="s">
        <v>197</v>
      </c>
      <c r="CC10" s="56" t="s">
        <v>198</v>
      </c>
      <c r="CD10" s="72" t="s">
        <v>199</v>
      </c>
      <c r="CE10" s="57" t="s">
        <v>200</v>
      </c>
      <c r="CF10" s="73"/>
      <c r="CG10" s="74">
        <v>78</v>
      </c>
      <c r="CH10" s="74">
        <v>3.67</v>
      </c>
      <c r="CI10" s="73">
        <v>286.26</v>
      </c>
      <c r="CJ10" s="74">
        <v>1.083</v>
      </c>
      <c r="CK10" s="75">
        <v>264.32132963988897</v>
      </c>
      <c r="CL10" s="75">
        <v>603.9</v>
      </c>
      <c r="CM10" s="76">
        <v>1.48E-3</v>
      </c>
      <c r="CN10" s="77"/>
      <c r="CO10" s="56"/>
      <c r="CP10" s="56">
        <v>96</v>
      </c>
      <c r="CQ10" s="56">
        <v>3</v>
      </c>
      <c r="CR10" s="78">
        <v>288</v>
      </c>
      <c r="CS10" s="79">
        <v>44.644444444444403</v>
      </c>
      <c r="CT10" s="79">
        <v>12.3</v>
      </c>
      <c r="CU10" s="79">
        <v>26.877777777777801</v>
      </c>
      <c r="CV10" s="79">
        <v>67.422222222222203</v>
      </c>
      <c r="CW10" s="79">
        <v>0</v>
      </c>
      <c r="CX10" s="79">
        <v>8.1999999999999993</v>
      </c>
      <c r="CY10" s="79">
        <v>14.1222222222222</v>
      </c>
      <c r="CZ10" s="79">
        <v>45.1</v>
      </c>
      <c r="DA10" s="79">
        <v>26.877777777777801</v>
      </c>
      <c r="DB10" s="85">
        <v>0.50213587820949801</v>
      </c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2"/>
      <c r="EK10" s="82"/>
      <c r="EL10" s="82"/>
      <c r="EM10" s="82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</row>
    <row r="11" spans="1:194">
      <c r="A11" s="53">
        <v>50</v>
      </c>
      <c r="B11" s="53" t="s">
        <v>213</v>
      </c>
      <c r="C11" s="54" t="s">
        <v>193</v>
      </c>
      <c r="D11" s="55" t="s">
        <v>214</v>
      </c>
      <c r="E11" s="56"/>
      <c r="F11" s="54" t="s">
        <v>195</v>
      </c>
      <c r="G11" s="57">
        <v>2022</v>
      </c>
      <c r="H11" s="56">
        <v>76.599999999999994</v>
      </c>
      <c r="I11" s="58">
        <v>82</v>
      </c>
      <c r="J11" s="58">
        <v>0.93414634146341502</v>
      </c>
      <c r="K11" s="59">
        <v>352</v>
      </c>
      <c r="L11" s="56"/>
      <c r="M11" s="56"/>
      <c r="N11" s="60">
        <v>232.95454545454601</v>
      </c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62" t="b">
        <f>FALSE()</f>
        <v>0</v>
      </c>
      <c r="AQ11" s="56"/>
      <c r="AR11" s="56">
        <v>8</v>
      </c>
      <c r="AS11" s="63">
        <v>100000</v>
      </c>
      <c r="AT11" s="63"/>
      <c r="AU11" s="56">
        <v>489</v>
      </c>
      <c r="AV11" s="56">
        <v>309.024</v>
      </c>
      <c r="AW11" s="56">
        <v>179.976</v>
      </c>
      <c r="AX11" s="64">
        <v>0.63195092024539901</v>
      </c>
      <c r="AY11" s="65">
        <v>1820</v>
      </c>
      <c r="AZ11" s="65">
        <v>1450</v>
      </c>
      <c r="BA11" s="65">
        <v>160</v>
      </c>
      <c r="BB11" s="66">
        <v>422.24</v>
      </c>
      <c r="BC11" s="67">
        <v>135.7840702103</v>
      </c>
      <c r="BD11" s="68">
        <v>0.32158031027448802</v>
      </c>
      <c r="BE11" s="69">
        <v>286.45592978970001</v>
      </c>
      <c r="BF11" s="56"/>
      <c r="BG11" s="56"/>
      <c r="BH11" s="70"/>
      <c r="BI11" s="70"/>
      <c r="BJ11" s="56"/>
      <c r="BK11" s="56"/>
      <c r="BL11" s="56"/>
      <c r="BM11" s="59">
        <v>167.689161554192</v>
      </c>
      <c r="BN11" s="66">
        <v>194.202349374763</v>
      </c>
      <c r="BO11" s="59"/>
      <c r="BP11" s="59"/>
      <c r="BQ11" s="71"/>
      <c r="BR11" s="56"/>
      <c r="BS11" s="56"/>
      <c r="BT11" s="56"/>
      <c r="BU11" s="56"/>
      <c r="BV11" s="56"/>
      <c r="BW11" s="56"/>
      <c r="BX11" s="56"/>
      <c r="BY11" s="56"/>
      <c r="BZ11" s="56"/>
      <c r="CA11" s="54" t="s">
        <v>196</v>
      </c>
      <c r="CB11" s="54" t="s">
        <v>197</v>
      </c>
      <c r="CC11" s="56" t="s">
        <v>198</v>
      </c>
      <c r="CD11" s="72" t="s">
        <v>199</v>
      </c>
      <c r="CE11" s="57" t="s">
        <v>200</v>
      </c>
      <c r="CF11" s="73"/>
      <c r="CG11" s="74">
        <v>78</v>
      </c>
      <c r="CH11" s="74">
        <v>3.67</v>
      </c>
      <c r="CI11" s="73">
        <v>286.26</v>
      </c>
      <c r="CJ11" s="74">
        <v>1.083</v>
      </c>
      <c r="CK11" s="75">
        <v>264.32132963988897</v>
      </c>
      <c r="CL11" s="75">
        <v>603.9</v>
      </c>
      <c r="CM11" s="76">
        <v>1.48E-3</v>
      </c>
      <c r="CN11" s="77"/>
      <c r="CO11" s="56"/>
      <c r="CP11" s="56">
        <v>96</v>
      </c>
      <c r="CQ11" s="56">
        <v>3</v>
      </c>
      <c r="CR11" s="78">
        <v>288</v>
      </c>
      <c r="CS11" s="79">
        <v>44.644444444444403</v>
      </c>
      <c r="CT11" s="79">
        <v>12.3</v>
      </c>
      <c r="CU11" s="79">
        <v>26.877777777777801</v>
      </c>
      <c r="CV11" s="79">
        <v>67.422222222222203</v>
      </c>
      <c r="CW11" s="79">
        <v>0</v>
      </c>
      <c r="CX11" s="79">
        <v>8.1999999999999993</v>
      </c>
      <c r="CY11" s="79">
        <v>14.1222222222222</v>
      </c>
      <c r="CZ11" s="79">
        <v>45.1</v>
      </c>
      <c r="DA11" s="79">
        <v>26.877777777777801</v>
      </c>
      <c r="DB11" s="85">
        <v>0.50213587820949801</v>
      </c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2"/>
      <c r="EK11" s="82"/>
      <c r="EL11" s="82"/>
      <c r="EM11" s="82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</row>
    <row r="12" spans="1:194">
      <c r="A12" s="53">
        <v>52</v>
      </c>
      <c r="B12" s="53" t="s">
        <v>215</v>
      </c>
      <c r="C12" s="54" t="s">
        <v>193</v>
      </c>
      <c r="D12" s="55" t="s">
        <v>216</v>
      </c>
      <c r="E12" s="56"/>
      <c r="F12" s="54" t="s">
        <v>195</v>
      </c>
      <c r="G12" s="57">
        <v>2021</v>
      </c>
      <c r="H12" s="56">
        <v>76.599999999999994</v>
      </c>
      <c r="I12" s="58">
        <v>82</v>
      </c>
      <c r="J12" s="58">
        <v>0.93414634146341502</v>
      </c>
      <c r="K12" s="59">
        <v>352</v>
      </c>
      <c r="L12" s="56"/>
      <c r="M12" s="56"/>
      <c r="N12" s="60">
        <v>232.95454545454601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62" t="b">
        <f>FALSE()</f>
        <v>0</v>
      </c>
      <c r="AQ12" s="56"/>
      <c r="AR12" s="56">
        <v>8</v>
      </c>
      <c r="AS12" s="63">
        <v>100000</v>
      </c>
      <c r="AT12" s="63"/>
      <c r="AU12" s="56">
        <v>489</v>
      </c>
      <c r="AV12" s="56">
        <v>309.024</v>
      </c>
      <c r="AW12" s="56">
        <v>179.976</v>
      </c>
      <c r="AX12" s="64">
        <v>0.63195092024539901</v>
      </c>
      <c r="AY12" s="65">
        <v>1820</v>
      </c>
      <c r="AZ12" s="65">
        <v>1450</v>
      </c>
      <c r="BA12" s="65">
        <v>160</v>
      </c>
      <c r="BB12" s="66">
        <v>422.24</v>
      </c>
      <c r="BC12" s="67">
        <v>135.7840702103</v>
      </c>
      <c r="BD12" s="68">
        <v>0.32158031027448802</v>
      </c>
      <c r="BE12" s="69">
        <v>286.45592978970001</v>
      </c>
      <c r="BF12" s="56"/>
      <c r="BG12" s="56"/>
      <c r="BH12" s="70"/>
      <c r="BI12" s="70"/>
      <c r="BJ12" s="56"/>
      <c r="BK12" s="56"/>
      <c r="BL12" s="56"/>
      <c r="BM12" s="59">
        <v>167.689161554192</v>
      </c>
      <c r="BN12" s="66">
        <v>194.202349374763</v>
      </c>
      <c r="BO12" s="59"/>
      <c r="BP12" s="59"/>
      <c r="BQ12" s="71"/>
      <c r="BR12" s="56"/>
      <c r="BS12" s="56"/>
      <c r="BT12" s="56"/>
      <c r="BU12" s="56"/>
      <c r="BV12" s="56"/>
      <c r="BW12" s="56">
        <v>12</v>
      </c>
      <c r="BX12" s="56">
        <v>24</v>
      </c>
      <c r="BY12" s="56"/>
      <c r="BZ12" s="56"/>
      <c r="CA12" s="54" t="s">
        <v>196</v>
      </c>
      <c r="CB12" s="54" t="s">
        <v>197</v>
      </c>
      <c r="CC12" s="56" t="s">
        <v>198</v>
      </c>
      <c r="CD12" s="72" t="s">
        <v>199</v>
      </c>
      <c r="CE12" s="57" t="s">
        <v>200</v>
      </c>
      <c r="CF12" s="73"/>
      <c r="CG12" s="74">
        <v>78</v>
      </c>
      <c r="CH12" s="74">
        <v>3.67</v>
      </c>
      <c r="CI12" s="73">
        <v>286.26</v>
      </c>
      <c r="CJ12" s="74">
        <v>1.083</v>
      </c>
      <c r="CK12" s="75">
        <v>264.32132963988897</v>
      </c>
      <c r="CL12" s="75">
        <v>603.9</v>
      </c>
      <c r="CM12" s="76">
        <v>1.48E-3</v>
      </c>
      <c r="CN12" s="77"/>
      <c r="CO12" s="56"/>
      <c r="CP12" s="56">
        <v>96</v>
      </c>
      <c r="CQ12" s="56">
        <v>3</v>
      </c>
      <c r="CR12" s="78">
        <v>288</v>
      </c>
      <c r="CS12" s="79">
        <v>44.644444444444403</v>
      </c>
      <c r="CT12" s="79">
        <v>12.3</v>
      </c>
      <c r="CU12" s="79">
        <v>26.877777777777801</v>
      </c>
      <c r="CV12" s="79">
        <v>67.422222222222203</v>
      </c>
      <c r="CW12" s="79">
        <v>0</v>
      </c>
      <c r="CX12" s="79">
        <v>8.1999999999999993</v>
      </c>
      <c r="CY12" s="79">
        <v>14.1222222222222</v>
      </c>
      <c r="CZ12" s="79">
        <v>45.1</v>
      </c>
      <c r="DA12" s="79">
        <v>26.877777777777801</v>
      </c>
      <c r="DB12" s="85">
        <v>0.50213587820949801</v>
      </c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2"/>
      <c r="EK12" s="82"/>
      <c r="EL12" s="82"/>
      <c r="EM12" s="82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</row>
    <row r="13" spans="1:194">
      <c r="A13" s="53">
        <v>56</v>
      </c>
      <c r="B13" s="53" t="s">
        <v>217</v>
      </c>
      <c r="C13" s="87" t="s">
        <v>218</v>
      </c>
      <c r="D13" s="88" t="s">
        <v>219</v>
      </c>
      <c r="E13" s="72" t="s">
        <v>220</v>
      </c>
      <c r="F13" s="87" t="s">
        <v>195</v>
      </c>
      <c r="G13" s="89">
        <v>2018</v>
      </c>
      <c r="H13" s="72">
        <v>37.9</v>
      </c>
      <c r="I13" s="90">
        <v>42.2</v>
      </c>
      <c r="J13" s="90">
        <v>0.89810426540284405</v>
      </c>
      <c r="K13" s="91">
        <v>352</v>
      </c>
      <c r="L13" s="92"/>
      <c r="M13" s="92"/>
      <c r="N13" s="67">
        <v>120</v>
      </c>
      <c r="O13" s="67"/>
      <c r="P13" s="67"/>
      <c r="Q13" s="67"/>
      <c r="R13" s="67"/>
      <c r="S13" s="67"/>
      <c r="T13" s="61">
        <v>150</v>
      </c>
      <c r="U13" s="72"/>
      <c r="V13" s="72"/>
      <c r="W13" s="72"/>
      <c r="X13" s="92"/>
      <c r="Y13" s="72"/>
      <c r="Z13" s="72"/>
      <c r="AA13" s="72">
        <v>50</v>
      </c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93" t="b">
        <f>FALSE()</f>
        <v>0</v>
      </c>
      <c r="AQ13" s="72"/>
      <c r="AR13" s="72"/>
      <c r="AS13" s="94"/>
      <c r="AT13" s="94"/>
      <c r="AU13" s="72">
        <v>278</v>
      </c>
      <c r="AV13" s="71">
        <v>211</v>
      </c>
      <c r="AW13" s="71">
        <v>67</v>
      </c>
      <c r="AX13" s="95">
        <v>0.75899280575539596</v>
      </c>
      <c r="AY13" s="72">
        <v>1660</v>
      </c>
      <c r="AZ13" s="72">
        <v>964</v>
      </c>
      <c r="BA13" s="72">
        <v>174</v>
      </c>
      <c r="BB13" s="66">
        <v>278.44175999999999</v>
      </c>
      <c r="BC13" s="67">
        <v>91.540130151843798</v>
      </c>
      <c r="BD13" s="68">
        <v>0.32875862497006098</v>
      </c>
      <c r="BE13" s="69">
        <v>186.90162984815601</v>
      </c>
      <c r="BF13" s="72"/>
      <c r="BG13" s="72"/>
      <c r="BH13" s="70"/>
      <c r="BI13" s="70"/>
      <c r="BJ13" s="72"/>
      <c r="BK13" s="72"/>
      <c r="BL13" s="72" t="s">
        <v>221</v>
      </c>
      <c r="BM13" s="71">
        <v>151.79856115107901</v>
      </c>
      <c r="BN13" s="71">
        <v>151.55772611119801</v>
      </c>
      <c r="BO13" s="71">
        <v>539.56834532374103</v>
      </c>
      <c r="BP13" s="59"/>
      <c r="BQ13" s="71">
        <v>179.85611510791401</v>
      </c>
      <c r="BR13" s="59">
        <v>538.71229660378503</v>
      </c>
      <c r="BS13" s="72"/>
      <c r="BT13" s="72"/>
      <c r="BU13" s="72"/>
      <c r="BV13" s="72"/>
      <c r="BW13" s="72">
        <v>8</v>
      </c>
      <c r="BX13" s="72">
        <v>12</v>
      </c>
      <c r="BY13" s="72">
        <v>29.8</v>
      </c>
      <c r="BZ13" s="72"/>
      <c r="CA13" s="87" t="s">
        <v>222</v>
      </c>
      <c r="CB13" s="96"/>
      <c r="CC13" s="72" t="s">
        <v>223</v>
      </c>
      <c r="CD13" s="72" t="s">
        <v>224</v>
      </c>
      <c r="CE13" s="97" t="s">
        <v>225</v>
      </c>
      <c r="CF13" s="97"/>
      <c r="CG13" s="97">
        <v>120</v>
      </c>
      <c r="CH13" s="98">
        <v>3.6666666666666701</v>
      </c>
      <c r="CI13" s="99">
        <v>440</v>
      </c>
      <c r="CJ13" s="97">
        <v>2.2000000000000002</v>
      </c>
      <c r="CK13" s="97">
        <v>200</v>
      </c>
      <c r="CL13" s="97">
        <v>461</v>
      </c>
      <c r="CM13" s="96"/>
      <c r="CN13" s="96"/>
      <c r="CO13" s="71"/>
      <c r="CP13" s="71">
        <v>96</v>
      </c>
      <c r="CQ13" s="71">
        <v>1</v>
      </c>
      <c r="CR13" s="100">
        <v>96</v>
      </c>
      <c r="CS13" s="79">
        <v>23.21</v>
      </c>
      <c r="CT13" s="79">
        <v>7.7366666666666699</v>
      </c>
      <c r="CU13" s="79">
        <v>13.3633333333333</v>
      </c>
      <c r="CV13" s="79">
        <v>35.1666666666667</v>
      </c>
      <c r="CW13" s="79">
        <v>0</v>
      </c>
      <c r="CX13" s="79">
        <v>4.22</v>
      </c>
      <c r="CY13" s="79">
        <v>7.0333333333333297</v>
      </c>
      <c r="CZ13" s="79">
        <v>22.5066666666667</v>
      </c>
      <c r="DA13" s="79">
        <v>13.3633333333333</v>
      </c>
      <c r="DB13" s="85">
        <v>0.455395683453237</v>
      </c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2"/>
      <c r="EK13" s="82"/>
      <c r="EL13" s="82"/>
      <c r="EM13" s="82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</row>
    <row r="14" spans="1:194">
      <c r="A14" s="53">
        <v>61</v>
      </c>
      <c r="B14" s="53" t="s">
        <v>226</v>
      </c>
      <c r="C14" s="87" t="s">
        <v>218</v>
      </c>
      <c r="D14" s="88" t="s">
        <v>219</v>
      </c>
      <c r="E14" s="72" t="s">
        <v>227</v>
      </c>
      <c r="F14" s="87" t="s">
        <v>195</v>
      </c>
      <c r="G14" s="89">
        <v>2013</v>
      </c>
      <c r="H14" s="72">
        <v>18.8</v>
      </c>
      <c r="I14" s="90">
        <v>21.312000000000001</v>
      </c>
      <c r="J14" s="90">
        <v>0.88213213213213204</v>
      </c>
      <c r="K14" s="91">
        <v>355</v>
      </c>
      <c r="L14" s="92">
        <v>393.6</v>
      </c>
      <c r="M14" s="92">
        <v>259.2</v>
      </c>
      <c r="N14" s="101">
        <v>60.0338028169014</v>
      </c>
      <c r="O14" s="67"/>
      <c r="P14" s="67"/>
      <c r="Q14" s="67"/>
      <c r="R14" s="67"/>
      <c r="S14" s="67"/>
      <c r="T14" s="61">
        <v>138.888888888889</v>
      </c>
      <c r="U14" s="72">
        <v>409</v>
      </c>
      <c r="V14" s="72"/>
      <c r="W14" s="72"/>
      <c r="X14" s="92"/>
      <c r="Y14" s="72"/>
      <c r="Z14" s="72">
        <v>53</v>
      </c>
      <c r="AA14" s="72">
        <v>47</v>
      </c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93" t="b">
        <f>FALSE()</f>
        <v>0</v>
      </c>
      <c r="AQ14" s="72"/>
      <c r="AR14" s="72"/>
      <c r="AS14" s="94"/>
      <c r="AT14" s="94"/>
      <c r="AU14" s="72">
        <v>235</v>
      </c>
      <c r="AV14" s="71">
        <v>197</v>
      </c>
      <c r="AW14" s="71">
        <v>38</v>
      </c>
      <c r="AX14" s="95">
        <v>0.83829787234042596</v>
      </c>
      <c r="AY14" s="72">
        <v>1660</v>
      </c>
      <c r="AZ14" s="72">
        <v>964</v>
      </c>
      <c r="BA14" s="72">
        <v>174</v>
      </c>
      <c r="BB14" s="66">
        <v>278.44175999999999</v>
      </c>
      <c r="BC14" s="67">
        <v>93.473684210526301</v>
      </c>
      <c r="BD14" s="68">
        <v>0.33570282062046403</v>
      </c>
      <c r="BE14" s="69">
        <v>184.968075789474</v>
      </c>
      <c r="BF14" s="72"/>
      <c r="BG14" s="72"/>
      <c r="BH14" s="70"/>
      <c r="BI14" s="70"/>
      <c r="BJ14" s="72"/>
      <c r="BK14" s="72"/>
      <c r="BL14" s="72" t="s">
        <v>221</v>
      </c>
      <c r="BM14" s="71">
        <v>90.689361702127698</v>
      </c>
      <c r="BN14" s="71">
        <v>76.540243101465805</v>
      </c>
      <c r="BO14" s="71">
        <v>591.01654846335703</v>
      </c>
      <c r="BP14" s="59"/>
      <c r="BQ14" s="71">
        <v>200</v>
      </c>
      <c r="BR14" s="59">
        <v>498.80768204054198</v>
      </c>
      <c r="BS14" s="72"/>
      <c r="BT14" s="72"/>
      <c r="BU14" s="72"/>
      <c r="BV14" s="72" t="s">
        <v>228</v>
      </c>
      <c r="BW14" s="72">
        <v>8</v>
      </c>
      <c r="BX14" s="72">
        <v>12</v>
      </c>
      <c r="BY14" s="72">
        <v>25</v>
      </c>
      <c r="BZ14" s="72"/>
      <c r="CA14" s="87" t="s">
        <v>222</v>
      </c>
      <c r="CB14" s="96"/>
      <c r="CC14" s="72" t="s">
        <v>229</v>
      </c>
      <c r="CD14" s="72" t="s">
        <v>230</v>
      </c>
      <c r="CE14" s="97" t="s">
        <v>225</v>
      </c>
      <c r="CF14" s="97"/>
      <c r="CG14" s="97">
        <v>60</v>
      </c>
      <c r="CH14" s="98">
        <v>3.6979166666666701</v>
      </c>
      <c r="CI14" s="99">
        <v>221.875</v>
      </c>
      <c r="CJ14" s="97">
        <v>2.0499999999999998</v>
      </c>
      <c r="CK14" s="97">
        <v>108</v>
      </c>
      <c r="CL14" s="97">
        <v>228</v>
      </c>
      <c r="CM14" s="96"/>
      <c r="CN14" s="96"/>
      <c r="CO14" s="71"/>
      <c r="CP14" s="71">
        <v>96</v>
      </c>
      <c r="CQ14" s="71">
        <v>1</v>
      </c>
      <c r="CR14" s="100">
        <v>96</v>
      </c>
      <c r="CS14" s="79">
        <v>12.432</v>
      </c>
      <c r="CT14" s="79">
        <v>6.6777600000000001</v>
      </c>
      <c r="CU14" s="79">
        <v>7.1040000000000001</v>
      </c>
      <c r="CV14" s="79">
        <v>18.825600000000001</v>
      </c>
      <c r="CW14" s="79">
        <v>0</v>
      </c>
      <c r="CX14" s="79">
        <v>2.1312000000000002</v>
      </c>
      <c r="CY14" s="79">
        <v>6.2100681599999996</v>
      </c>
      <c r="CZ14" s="79">
        <v>7.7967003840000002</v>
      </c>
      <c r="DA14" s="79">
        <v>7.1040000000000001</v>
      </c>
      <c r="DB14" s="85">
        <v>0.29055884486808498</v>
      </c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2"/>
      <c r="EK14" s="82"/>
      <c r="EL14" s="82"/>
      <c r="EM14" s="82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</row>
    <row r="15" spans="1:194">
      <c r="A15" s="53">
        <v>60</v>
      </c>
      <c r="B15" s="53" t="s">
        <v>231</v>
      </c>
      <c r="C15" s="87" t="s">
        <v>218</v>
      </c>
      <c r="D15" s="88" t="s">
        <v>219</v>
      </c>
      <c r="E15" s="72" t="s">
        <v>232</v>
      </c>
      <c r="F15" s="87" t="s">
        <v>195</v>
      </c>
      <c r="G15" s="89">
        <v>2016</v>
      </c>
      <c r="H15" s="72">
        <v>27.2</v>
      </c>
      <c r="I15" s="90">
        <v>33.208320000000001</v>
      </c>
      <c r="J15" s="90">
        <v>0.81907184705519598</v>
      </c>
      <c r="K15" s="91">
        <v>353</v>
      </c>
      <c r="L15" s="92">
        <v>398.4</v>
      </c>
      <c r="M15" s="92">
        <v>259.2</v>
      </c>
      <c r="N15" s="101">
        <v>94.0745609065156</v>
      </c>
      <c r="O15" s="86">
        <v>6.7199999999999996E-2</v>
      </c>
      <c r="P15" s="67"/>
      <c r="Q15" s="67"/>
      <c r="R15" s="67"/>
      <c r="S15" s="67"/>
      <c r="T15" s="61">
        <v>138.888888888889</v>
      </c>
      <c r="U15" s="72"/>
      <c r="V15" s="72"/>
      <c r="W15" s="72"/>
      <c r="X15" s="92"/>
      <c r="Y15" s="72"/>
      <c r="Z15" s="72"/>
      <c r="AA15" s="72">
        <v>49</v>
      </c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93" t="b">
        <f>FALSE()</f>
        <v>0</v>
      </c>
      <c r="AQ15" s="72"/>
      <c r="AR15" s="72"/>
      <c r="AS15" s="94"/>
      <c r="AT15" s="94"/>
      <c r="AU15" s="72">
        <v>256</v>
      </c>
      <c r="AV15" s="71">
        <v>193</v>
      </c>
      <c r="AW15" s="71">
        <v>63</v>
      </c>
      <c r="AX15" s="95">
        <v>0.75390625</v>
      </c>
      <c r="AY15" s="72">
        <v>1660</v>
      </c>
      <c r="AZ15" s="72">
        <v>964</v>
      </c>
      <c r="BA15" s="72">
        <v>174</v>
      </c>
      <c r="BB15" s="66">
        <v>278.44175999999999</v>
      </c>
      <c r="BC15" s="67">
        <v>93.544563380281701</v>
      </c>
      <c r="BD15" s="68">
        <v>0.33595737715593299</v>
      </c>
      <c r="BE15" s="69">
        <v>184.89719661971799</v>
      </c>
      <c r="BF15" s="72"/>
      <c r="BG15" s="72"/>
      <c r="BH15" s="70"/>
      <c r="BI15" s="70"/>
      <c r="BJ15" s="72"/>
      <c r="BK15" s="72"/>
      <c r="BL15" s="72" t="s">
        <v>221</v>
      </c>
      <c r="BM15" s="71">
        <v>129.72</v>
      </c>
      <c r="BN15" s="71">
        <v>119.264868890356</v>
      </c>
      <c r="BO15" s="71">
        <v>542.53472222222194</v>
      </c>
      <c r="BP15" s="59"/>
      <c r="BQ15" s="71">
        <v>191.40625</v>
      </c>
      <c r="BR15" s="59">
        <v>498.80768204054198</v>
      </c>
      <c r="BS15" s="72"/>
      <c r="BT15" s="72"/>
      <c r="BU15" s="72"/>
      <c r="BV15" s="72"/>
      <c r="BW15" s="72">
        <v>8</v>
      </c>
      <c r="BX15" s="72">
        <v>12</v>
      </c>
      <c r="BY15" s="72">
        <v>28</v>
      </c>
      <c r="BZ15" s="72"/>
      <c r="CA15" s="87" t="s">
        <v>222</v>
      </c>
      <c r="CB15" s="96"/>
      <c r="CC15" s="72" t="s">
        <v>233</v>
      </c>
      <c r="CD15" s="72" t="s">
        <v>230</v>
      </c>
      <c r="CE15" s="97" t="s">
        <v>225</v>
      </c>
      <c r="CF15" s="97"/>
      <c r="CG15" s="97">
        <v>94</v>
      </c>
      <c r="CH15" s="98">
        <v>3.6770833333333299</v>
      </c>
      <c r="CI15" s="99">
        <v>345.64583333333297</v>
      </c>
      <c r="CJ15" s="97">
        <v>2.0099999999999998</v>
      </c>
      <c r="CK15" s="97">
        <v>172</v>
      </c>
      <c r="CL15" s="97">
        <v>355</v>
      </c>
      <c r="CM15" s="96">
        <v>6.9999999999999999E-4</v>
      </c>
      <c r="CN15" s="96"/>
      <c r="CO15" s="71"/>
      <c r="CP15" s="71">
        <v>96</v>
      </c>
      <c r="CQ15" s="71">
        <v>1</v>
      </c>
      <c r="CR15" s="100">
        <v>96</v>
      </c>
      <c r="CS15" s="79">
        <v>19.37152</v>
      </c>
      <c r="CT15" s="79">
        <v>10.405273599999999</v>
      </c>
      <c r="CU15" s="79">
        <v>11.06944</v>
      </c>
      <c r="CV15" s="79">
        <v>29.334015999999998</v>
      </c>
      <c r="CW15" s="79">
        <v>0</v>
      </c>
      <c r="CX15" s="79">
        <v>3.3208319999999998</v>
      </c>
      <c r="CY15" s="79">
        <v>9.6765170176000002</v>
      </c>
      <c r="CZ15" s="79">
        <v>12.14880449024</v>
      </c>
      <c r="DA15" s="79">
        <v>11.06944</v>
      </c>
      <c r="DB15" s="85">
        <v>0.41560876213999998</v>
      </c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2"/>
      <c r="EK15" s="82"/>
      <c r="EL15" s="82"/>
      <c r="EM15" s="82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</row>
    <row r="16" spans="1:194">
      <c r="A16" s="53">
        <v>43</v>
      </c>
      <c r="B16" s="53" t="s">
        <v>234</v>
      </c>
      <c r="C16" s="87" t="s">
        <v>218</v>
      </c>
      <c r="D16" s="88" t="s">
        <v>235</v>
      </c>
      <c r="E16" s="72"/>
      <c r="F16" s="87" t="s">
        <v>195</v>
      </c>
      <c r="G16" s="89">
        <v>2024</v>
      </c>
      <c r="H16" s="65">
        <v>106.3</v>
      </c>
      <c r="I16" s="83">
        <v>111.5</v>
      </c>
      <c r="J16" s="90">
        <v>0.95336322869955203</v>
      </c>
      <c r="K16" s="102">
        <v>369</v>
      </c>
      <c r="L16" s="65">
        <v>430</v>
      </c>
      <c r="M16" s="65">
        <v>280</v>
      </c>
      <c r="N16" s="103">
        <v>303</v>
      </c>
      <c r="O16" s="67"/>
      <c r="P16" s="67"/>
      <c r="Q16" s="67"/>
      <c r="R16" s="67"/>
      <c r="S16" s="67"/>
      <c r="T16" s="104">
        <v>397</v>
      </c>
      <c r="U16" s="72"/>
      <c r="V16" s="72"/>
      <c r="W16" s="72"/>
      <c r="X16" s="72"/>
      <c r="Y16" s="72"/>
      <c r="Z16" s="72"/>
      <c r="AA16" s="72">
        <v>195</v>
      </c>
      <c r="AB16" s="72"/>
      <c r="AC16" s="72"/>
      <c r="AD16" s="72"/>
      <c r="AE16" s="72">
        <v>39</v>
      </c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93" t="b">
        <f>FALSE()</f>
        <v>0</v>
      </c>
      <c r="AQ16" s="72"/>
      <c r="AR16" s="72"/>
      <c r="AS16" s="94"/>
      <c r="AT16" s="94"/>
      <c r="AU16" s="102">
        <v>649</v>
      </c>
      <c r="AV16" s="72"/>
      <c r="AW16" s="72"/>
      <c r="AX16" s="95"/>
      <c r="AY16" s="65">
        <v>2410</v>
      </c>
      <c r="AZ16" s="65">
        <v>1742</v>
      </c>
      <c r="BA16" s="65">
        <v>141</v>
      </c>
      <c r="BB16" s="66">
        <v>591.94902000000002</v>
      </c>
      <c r="BC16" s="67"/>
      <c r="BD16" s="68"/>
      <c r="BE16" s="68"/>
      <c r="BF16" s="72"/>
      <c r="BG16" s="72"/>
      <c r="BH16" s="70"/>
      <c r="BI16" s="70"/>
      <c r="BJ16" s="72"/>
      <c r="BK16" s="72"/>
      <c r="BL16" s="72"/>
      <c r="BM16" s="102">
        <v>174</v>
      </c>
      <c r="BN16" s="59">
        <v>188.36081526074699</v>
      </c>
      <c r="BO16" s="71">
        <v>611.71032357472995</v>
      </c>
      <c r="BP16" s="59"/>
      <c r="BQ16" s="71">
        <v>300.46224961479197</v>
      </c>
      <c r="BR16" s="72"/>
      <c r="BS16" s="72"/>
      <c r="BT16" s="72"/>
      <c r="BU16" s="72"/>
      <c r="BV16" s="72"/>
      <c r="BW16" s="72">
        <v>11</v>
      </c>
      <c r="BX16" s="72"/>
      <c r="BY16" s="72"/>
      <c r="BZ16" s="72"/>
      <c r="CA16" s="87"/>
      <c r="CB16" s="87"/>
      <c r="CC16" s="72"/>
      <c r="CD16" s="65" t="s">
        <v>199</v>
      </c>
      <c r="CE16" s="97" t="s">
        <v>225</v>
      </c>
      <c r="CF16" s="97"/>
      <c r="CG16" s="74">
        <v>60.6</v>
      </c>
      <c r="CH16" s="105">
        <v>3.69</v>
      </c>
      <c r="CI16" s="105">
        <v>223.614</v>
      </c>
      <c r="CJ16" s="97"/>
      <c r="CK16" s="97"/>
      <c r="CL16" s="97"/>
      <c r="CM16" s="96"/>
      <c r="CN16" s="96"/>
      <c r="CO16" s="67"/>
      <c r="CP16" s="66">
        <v>100</v>
      </c>
      <c r="CQ16" s="66">
        <v>5</v>
      </c>
      <c r="CR16" s="106">
        <v>500</v>
      </c>
      <c r="CS16" s="79">
        <v>60.705555555555598</v>
      </c>
      <c r="CT16" s="79">
        <v>16.725000000000001</v>
      </c>
      <c r="CU16" s="79">
        <v>36.547222222222203</v>
      </c>
      <c r="CV16" s="79">
        <v>91.677777777777806</v>
      </c>
      <c r="CW16" s="79">
        <v>0</v>
      </c>
      <c r="CX16" s="79">
        <v>11.15</v>
      </c>
      <c r="CY16" s="79">
        <v>19.202777777777801</v>
      </c>
      <c r="CZ16" s="79">
        <v>61.325000000000003</v>
      </c>
      <c r="DA16" s="79">
        <v>36.547222222222203</v>
      </c>
      <c r="DB16" s="85">
        <v>0.51445386064030096</v>
      </c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2"/>
      <c r="EK16" s="82"/>
      <c r="EL16" s="82"/>
      <c r="EM16" s="82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</row>
    <row r="17" spans="1:171">
      <c r="A17" s="53">
        <v>31</v>
      </c>
      <c r="B17" s="53" t="s">
        <v>236</v>
      </c>
      <c r="C17" s="87" t="s">
        <v>218</v>
      </c>
      <c r="D17" s="88" t="s">
        <v>237</v>
      </c>
      <c r="E17" s="72" t="s">
        <v>238</v>
      </c>
      <c r="F17" s="87" t="s">
        <v>195</v>
      </c>
      <c r="G17" s="89">
        <v>2022</v>
      </c>
      <c r="H17" s="65">
        <v>70.599999999999994</v>
      </c>
      <c r="I17" s="83">
        <v>76.599999999999994</v>
      </c>
      <c r="J17" s="107">
        <v>0.92167101827676201</v>
      </c>
      <c r="K17" s="104">
        <v>330.3</v>
      </c>
      <c r="L17" s="65">
        <v>378</v>
      </c>
      <c r="M17" s="65">
        <v>252</v>
      </c>
      <c r="N17" s="104">
        <v>232</v>
      </c>
      <c r="O17" s="83">
        <v>0.04</v>
      </c>
      <c r="P17" s="67"/>
      <c r="Q17" s="67"/>
      <c r="R17" s="67"/>
      <c r="S17" s="67"/>
      <c r="T17" s="102">
        <v>274</v>
      </c>
      <c r="U17" s="72"/>
      <c r="V17" s="72"/>
      <c r="W17" s="72"/>
      <c r="X17" s="92"/>
      <c r="Y17" s="72"/>
      <c r="Z17" s="72"/>
      <c r="AA17" s="72">
        <v>150</v>
      </c>
      <c r="AB17" s="72"/>
      <c r="AC17" s="72"/>
      <c r="AD17" s="72"/>
      <c r="AE17" s="72">
        <v>31</v>
      </c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93" t="b">
        <f>FALSE()</f>
        <v>0</v>
      </c>
      <c r="AQ17" s="72"/>
      <c r="AR17" s="72"/>
      <c r="AS17" s="94"/>
      <c r="AT17" s="94"/>
      <c r="AU17" s="65">
        <v>515.9</v>
      </c>
      <c r="AV17" s="91"/>
      <c r="AW17" s="91"/>
      <c r="AX17" s="108"/>
      <c r="AY17" s="65">
        <v>2410</v>
      </c>
      <c r="AZ17" s="65">
        <v>1742</v>
      </c>
      <c r="BA17" s="65">
        <v>141</v>
      </c>
      <c r="BB17" s="66">
        <v>591.94902000000002</v>
      </c>
      <c r="BC17" s="67"/>
      <c r="BD17" s="68"/>
      <c r="BE17" s="68"/>
      <c r="BF17" s="72"/>
      <c r="BG17" s="72"/>
      <c r="BH17" s="70"/>
      <c r="BI17" s="70"/>
      <c r="BJ17" s="72"/>
      <c r="BK17" s="72"/>
      <c r="BL17" s="72" t="s">
        <v>239</v>
      </c>
      <c r="BM17" s="71">
        <v>148.47838728435701</v>
      </c>
      <c r="BN17" s="59">
        <v>129.40303541680001</v>
      </c>
      <c r="BO17" s="71">
        <v>531.11068036441202</v>
      </c>
      <c r="BP17" s="59"/>
      <c r="BQ17" s="71">
        <v>290.75402209730601</v>
      </c>
      <c r="BR17" s="72"/>
      <c r="BS17" s="72"/>
      <c r="BT17" s="72"/>
      <c r="BU17" s="72"/>
      <c r="BV17" s="72"/>
      <c r="BW17" s="72"/>
      <c r="BX17" s="72"/>
      <c r="BY17" s="72"/>
      <c r="BZ17" s="72"/>
      <c r="CA17" s="87"/>
      <c r="CB17" s="96"/>
      <c r="CC17" s="109"/>
      <c r="CD17" s="72"/>
      <c r="CE17" s="97" t="s">
        <v>225</v>
      </c>
      <c r="CF17" s="97"/>
      <c r="CG17" s="97"/>
      <c r="CH17" s="97"/>
      <c r="CI17" s="97"/>
      <c r="CJ17" s="97"/>
      <c r="CK17" s="97"/>
      <c r="CL17" s="97"/>
      <c r="CM17" s="96"/>
      <c r="CN17" s="96"/>
      <c r="CO17" s="67"/>
      <c r="CP17" s="102">
        <v>90</v>
      </c>
      <c r="CQ17" s="102">
        <v>2</v>
      </c>
      <c r="CR17" s="106">
        <v>180</v>
      </c>
      <c r="CS17" s="53"/>
      <c r="CT17" s="53"/>
      <c r="CU17" s="53"/>
      <c r="CV17" s="53"/>
      <c r="CW17" s="53"/>
      <c r="CX17" s="53"/>
      <c r="CY17" s="53"/>
      <c r="CZ17" s="53"/>
      <c r="DA17" s="53"/>
      <c r="DB17" s="80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2"/>
      <c r="EK17" s="82"/>
      <c r="EL17" s="82"/>
      <c r="EM17" s="82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</row>
    <row r="18" spans="1:171">
      <c r="A18" s="53">
        <v>44</v>
      </c>
      <c r="B18" s="53" t="s">
        <v>240</v>
      </c>
      <c r="C18" s="87" t="s">
        <v>218</v>
      </c>
      <c r="D18" s="88" t="s">
        <v>241</v>
      </c>
      <c r="E18" s="72" t="s">
        <v>242</v>
      </c>
      <c r="F18" s="87" t="s">
        <v>195</v>
      </c>
      <c r="G18" s="89">
        <v>2022</v>
      </c>
      <c r="H18" s="65">
        <v>106.3</v>
      </c>
      <c r="I18" s="83">
        <v>111.5</v>
      </c>
      <c r="J18" s="90">
        <v>0.95336322869955203</v>
      </c>
      <c r="K18" s="102">
        <v>369</v>
      </c>
      <c r="L18" s="65">
        <v>430</v>
      </c>
      <c r="M18" s="65">
        <v>280</v>
      </c>
      <c r="N18" s="104">
        <v>303</v>
      </c>
      <c r="O18" s="83">
        <v>0.03</v>
      </c>
      <c r="P18" s="67"/>
      <c r="Q18" s="67"/>
      <c r="R18" s="67"/>
      <c r="S18" s="67"/>
      <c r="T18" s="102">
        <v>586</v>
      </c>
      <c r="U18" s="72"/>
      <c r="V18" s="72"/>
      <c r="W18" s="72"/>
      <c r="X18" s="72"/>
      <c r="Y18" s="72"/>
      <c r="Z18" s="72"/>
      <c r="AA18" s="72">
        <v>195</v>
      </c>
      <c r="AB18" s="72"/>
      <c r="AC18" s="72"/>
      <c r="AD18" s="72"/>
      <c r="AE18" s="72">
        <v>35</v>
      </c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93" t="b">
        <f>FALSE()</f>
        <v>0</v>
      </c>
      <c r="AQ18" s="72"/>
      <c r="AR18" s="72"/>
      <c r="AS18" s="94"/>
      <c r="AT18" s="94"/>
      <c r="AU18" s="102">
        <v>649</v>
      </c>
      <c r="AV18" s="91"/>
      <c r="AW18" s="91"/>
      <c r="AX18" s="108"/>
      <c r="AY18" s="65">
        <v>2410</v>
      </c>
      <c r="AZ18" s="65">
        <v>1742</v>
      </c>
      <c r="BA18" s="65">
        <v>141</v>
      </c>
      <c r="BB18" s="66">
        <v>591.94902000000002</v>
      </c>
      <c r="BC18" s="67"/>
      <c r="BD18" s="68"/>
      <c r="BE18" s="68"/>
      <c r="BF18" s="72"/>
      <c r="BG18" s="72"/>
      <c r="BH18" s="70"/>
      <c r="BI18" s="70"/>
      <c r="BJ18" s="72"/>
      <c r="BK18" s="72"/>
      <c r="BL18" s="72"/>
      <c r="BM18" s="102">
        <v>174</v>
      </c>
      <c r="BN18" s="59">
        <v>188.36081526074699</v>
      </c>
      <c r="BO18" s="71">
        <v>902.92758089368294</v>
      </c>
      <c r="BP18" s="59"/>
      <c r="BQ18" s="71">
        <v>300.46224961479197</v>
      </c>
      <c r="BR18" s="72"/>
      <c r="BS18" s="72"/>
      <c r="BT18" s="72"/>
      <c r="BU18" s="72"/>
      <c r="BV18" s="72"/>
      <c r="BW18" s="72"/>
      <c r="BX18" s="72"/>
      <c r="BY18" s="72"/>
      <c r="BZ18" s="72"/>
      <c r="CA18" s="87"/>
      <c r="CB18" s="96"/>
      <c r="CC18" s="109"/>
      <c r="CD18" s="65" t="s">
        <v>199</v>
      </c>
      <c r="CE18" s="97" t="s">
        <v>225</v>
      </c>
      <c r="CF18" s="97"/>
      <c r="CG18" s="74">
        <v>60.6</v>
      </c>
      <c r="CH18" s="105">
        <v>3.69</v>
      </c>
      <c r="CI18" s="105">
        <v>223.614</v>
      </c>
      <c r="CJ18" s="97"/>
      <c r="CK18" s="97"/>
      <c r="CL18" s="97"/>
      <c r="CM18" s="96"/>
      <c r="CN18" s="96"/>
      <c r="CO18" s="67"/>
      <c r="CP18" s="66">
        <v>100</v>
      </c>
      <c r="CQ18" s="66">
        <v>5</v>
      </c>
      <c r="CR18" s="106">
        <v>500</v>
      </c>
      <c r="CS18" s="79">
        <v>60.705555555555598</v>
      </c>
      <c r="CT18" s="79">
        <v>16.725000000000001</v>
      </c>
      <c r="CU18" s="79">
        <v>36.547222222222203</v>
      </c>
      <c r="CV18" s="79">
        <v>91.677777777777806</v>
      </c>
      <c r="CW18" s="79">
        <v>0</v>
      </c>
      <c r="CX18" s="79">
        <v>11.15</v>
      </c>
      <c r="CY18" s="79">
        <v>19.202777777777801</v>
      </c>
      <c r="CZ18" s="79">
        <v>61.325000000000003</v>
      </c>
      <c r="DA18" s="79">
        <v>36.547222222222203</v>
      </c>
      <c r="DB18" s="85">
        <v>0.51445386064030096</v>
      </c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2"/>
      <c r="EK18" s="82"/>
      <c r="EL18" s="82"/>
      <c r="EM18" s="82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</row>
    <row r="19" spans="1:171">
      <c r="A19" s="53">
        <v>55</v>
      </c>
      <c r="B19" s="53" t="s">
        <v>243</v>
      </c>
      <c r="C19" s="110" t="s">
        <v>244</v>
      </c>
      <c r="D19" s="111" t="s">
        <v>245</v>
      </c>
      <c r="E19" s="112"/>
      <c r="F19" s="110" t="s">
        <v>195</v>
      </c>
      <c r="G19" s="113">
        <v>2022</v>
      </c>
      <c r="H19" s="112"/>
      <c r="I19" s="83">
        <v>82.56</v>
      </c>
      <c r="J19" s="114"/>
      <c r="K19" s="102">
        <v>550.4</v>
      </c>
      <c r="L19" s="112"/>
      <c r="M19" s="112"/>
      <c r="N19" s="65">
        <v>150</v>
      </c>
      <c r="O19" s="115"/>
      <c r="P19" s="86">
        <v>0.51600000000000001</v>
      </c>
      <c r="Q19" s="115"/>
      <c r="R19" s="115"/>
      <c r="S19" s="115"/>
      <c r="T19" s="65">
        <v>390</v>
      </c>
      <c r="U19" s="115"/>
      <c r="V19" s="115"/>
      <c r="W19" s="115"/>
      <c r="X19" s="115"/>
      <c r="Y19" s="115"/>
      <c r="Z19" s="115"/>
      <c r="AA19" s="65">
        <v>150</v>
      </c>
      <c r="AB19" s="115"/>
      <c r="AC19" s="115"/>
      <c r="AD19" s="115"/>
      <c r="AE19" s="65">
        <v>37</v>
      </c>
      <c r="AF19" s="115"/>
      <c r="AG19" s="115"/>
      <c r="AH19" s="115"/>
      <c r="AI19" s="65">
        <v>26</v>
      </c>
      <c r="AJ19" s="65"/>
      <c r="AK19" s="65"/>
      <c r="AL19" s="65"/>
      <c r="AM19" s="65"/>
      <c r="AN19" s="65"/>
      <c r="AO19" s="65"/>
      <c r="AP19" s="116" t="b">
        <f>FALSE()</f>
        <v>0</v>
      </c>
      <c r="AQ19" s="65"/>
      <c r="AR19" s="115"/>
      <c r="AS19" s="117"/>
      <c r="AT19" s="117"/>
      <c r="AU19" s="115">
        <v>560</v>
      </c>
      <c r="AV19" s="66">
        <v>446.27027027026998</v>
      </c>
      <c r="AW19" s="66">
        <v>113.72972972973</v>
      </c>
      <c r="AX19" s="118">
        <v>0.79691119691119705</v>
      </c>
      <c r="AY19" s="119">
        <v>1990</v>
      </c>
      <c r="AZ19" s="119">
        <v>1308</v>
      </c>
      <c r="BA19" s="115">
        <v>110</v>
      </c>
      <c r="BB19" s="66">
        <v>286.32119999999998</v>
      </c>
      <c r="BC19" s="67">
        <v>200.87591240875901</v>
      </c>
      <c r="BD19" s="68">
        <v>0.70157540695121101</v>
      </c>
      <c r="BE19" s="69">
        <v>85.445287591240898</v>
      </c>
      <c r="BF19" s="115"/>
      <c r="BG19" s="115"/>
      <c r="BH19" s="70"/>
      <c r="BI19" s="70"/>
      <c r="BJ19" s="115"/>
      <c r="BK19" s="115"/>
      <c r="BL19" s="115" t="s">
        <v>221</v>
      </c>
      <c r="BM19" s="91">
        <v>147.42857142857099</v>
      </c>
      <c r="BN19" s="66">
        <v>288.34749225694799</v>
      </c>
      <c r="BO19" s="120">
        <v>696.42857142857099</v>
      </c>
      <c r="BP19" s="59"/>
      <c r="BQ19" s="71">
        <v>267.857142857143</v>
      </c>
      <c r="BR19" s="59">
        <v>1362.1066131323801</v>
      </c>
      <c r="BS19" s="115"/>
      <c r="BT19" s="115"/>
      <c r="BU19" s="115"/>
      <c r="BV19" s="115"/>
      <c r="BW19" s="115"/>
      <c r="BX19" s="115"/>
      <c r="BY19" s="115"/>
      <c r="BZ19" s="115"/>
      <c r="CA19" s="121" t="s">
        <v>244</v>
      </c>
      <c r="CB19" s="121" t="s">
        <v>246</v>
      </c>
      <c r="CC19" s="115" t="s">
        <v>247</v>
      </c>
      <c r="CD19" s="72" t="s">
        <v>248</v>
      </c>
      <c r="CE19" s="122" t="s">
        <v>249</v>
      </c>
      <c r="CF19" s="123"/>
      <c r="CG19" s="123">
        <v>150</v>
      </c>
      <c r="CH19" s="123">
        <v>3.2</v>
      </c>
      <c r="CI19" s="123">
        <v>480</v>
      </c>
      <c r="CJ19" s="124">
        <v>2.5945945945946001</v>
      </c>
      <c r="CK19" s="123">
        <v>185</v>
      </c>
      <c r="CL19" s="123">
        <v>411</v>
      </c>
      <c r="CM19" s="125"/>
      <c r="CN19" s="125">
        <v>3.0000000000000001E-3</v>
      </c>
      <c r="CO19" s="115"/>
      <c r="CP19" s="115">
        <v>172</v>
      </c>
      <c r="CQ19" s="115">
        <v>1</v>
      </c>
      <c r="CR19" s="126">
        <v>172</v>
      </c>
      <c r="CS19" s="79">
        <v>60.543999999999997</v>
      </c>
      <c r="CT19" s="79">
        <v>0</v>
      </c>
      <c r="CU19" s="79">
        <v>35.776000000000003</v>
      </c>
      <c r="CV19" s="79">
        <v>90.816000000000003</v>
      </c>
      <c r="CW19" s="79">
        <v>56.415999999999997</v>
      </c>
      <c r="CX19" s="79">
        <v>8.2560000000000002</v>
      </c>
      <c r="CY19" s="79">
        <v>0</v>
      </c>
      <c r="CZ19" s="79">
        <v>0</v>
      </c>
      <c r="DA19" s="79">
        <v>35.776000000000003</v>
      </c>
      <c r="DB19" s="85">
        <v>0.51354285714285697</v>
      </c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2"/>
      <c r="EK19" s="82"/>
      <c r="EL19" s="82"/>
      <c r="EM19" s="82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</row>
    <row r="20" spans="1:171">
      <c r="A20" s="53">
        <v>55</v>
      </c>
      <c r="B20" s="53" t="s">
        <v>250</v>
      </c>
      <c r="C20" s="110" t="s">
        <v>244</v>
      </c>
      <c r="D20" s="111" t="s">
        <v>251</v>
      </c>
      <c r="E20" s="112"/>
      <c r="F20" s="110" t="s">
        <v>195</v>
      </c>
      <c r="G20" s="113">
        <v>2022</v>
      </c>
      <c r="H20" s="112"/>
      <c r="I20" s="83">
        <v>82.56</v>
      </c>
      <c r="J20" s="114"/>
      <c r="K20" s="102">
        <v>550.4</v>
      </c>
      <c r="L20" s="112"/>
      <c r="M20" s="112"/>
      <c r="N20" s="65">
        <v>150</v>
      </c>
      <c r="O20" s="115"/>
      <c r="P20" s="86">
        <v>0.51600000000000001</v>
      </c>
      <c r="Q20" s="115"/>
      <c r="R20" s="115"/>
      <c r="S20" s="115"/>
      <c r="T20" s="65">
        <v>230</v>
      </c>
      <c r="U20" s="115"/>
      <c r="V20" s="115"/>
      <c r="W20" s="115"/>
      <c r="X20" s="115"/>
      <c r="Y20" s="115"/>
      <c r="Z20" s="115"/>
      <c r="AA20" s="65">
        <v>150</v>
      </c>
      <c r="AB20" s="115"/>
      <c r="AC20" s="115"/>
      <c r="AD20" s="115"/>
      <c r="AE20" s="65">
        <v>37</v>
      </c>
      <c r="AF20" s="115"/>
      <c r="AG20" s="115"/>
      <c r="AH20" s="115"/>
      <c r="AI20" s="65">
        <v>26</v>
      </c>
      <c r="AJ20" s="65"/>
      <c r="AK20" s="65"/>
      <c r="AL20" s="65"/>
      <c r="AM20" s="65"/>
      <c r="AN20" s="65"/>
      <c r="AO20" s="65"/>
      <c r="AP20" s="116" t="b">
        <f>FALSE()</f>
        <v>0</v>
      </c>
      <c r="AQ20" s="65"/>
      <c r="AR20" s="115"/>
      <c r="AS20" s="117"/>
      <c r="AT20" s="117"/>
      <c r="AU20" s="115">
        <v>558</v>
      </c>
      <c r="AV20" s="66">
        <v>446.27027027026998</v>
      </c>
      <c r="AW20" s="66">
        <v>111.72972972973</v>
      </c>
      <c r="AX20" s="118">
        <v>0.79976750944492903</v>
      </c>
      <c r="AY20" s="119">
        <v>1990</v>
      </c>
      <c r="AZ20" s="119">
        <v>1308</v>
      </c>
      <c r="BA20" s="115">
        <v>110</v>
      </c>
      <c r="BB20" s="66">
        <v>286.32119999999998</v>
      </c>
      <c r="BC20" s="67">
        <v>200.87591240875901</v>
      </c>
      <c r="BD20" s="68">
        <v>0.70157540695121101</v>
      </c>
      <c r="BE20" s="69">
        <v>85.445287591240898</v>
      </c>
      <c r="BF20" s="115"/>
      <c r="BG20" s="115"/>
      <c r="BH20" s="70"/>
      <c r="BI20" s="70"/>
      <c r="BJ20" s="115"/>
      <c r="BK20" s="115"/>
      <c r="BL20" s="115" t="s">
        <v>221</v>
      </c>
      <c r="BM20" s="91">
        <v>147.95698924731201</v>
      </c>
      <c r="BN20" s="66">
        <v>288.34749225694799</v>
      </c>
      <c r="BO20" s="120">
        <v>412.18637992831498</v>
      </c>
      <c r="BP20" s="59"/>
      <c r="BQ20" s="71">
        <v>268.81720430107498</v>
      </c>
      <c r="BR20" s="59">
        <v>803.29364364217497</v>
      </c>
      <c r="BS20" s="115"/>
      <c r="BT20" s="115"/>
      <c r="BU20" s="115"/>
      <c r="BV20" s="115"/>
      <c r="BW20" s="115"/>
      <c r="BX20" s="115"/>
      <c r="BY20" s="115"/>
      <c r="BZ20" s="115"/>
      <c r="CA20" s="121" t="s">
        <v>244</v>
      </c>
      <c r="CB20" s="121" t="s">
        <v>246</v>
      </c>
      <c r="CC20" s="115" t="s">
        <v>247</v>
      </c>
      <c r="CD20" s="72" t="s">
        <v>248</v>
      </c>
      <c r="CE20" s="122" t="s">
        <v>249</v>
      </c>
      <c r="CF20" s="123"/>
      <c r="CG20" s="123">
        <v>150</v>
      </c>
      <c r="CH20" s="123">
        <v>3.2</v>
      </c>
      <c r="CI20" s="123">
        <v>480</v>
      </c>
      <c r="CJ20" s="124">
        <v>2.5945945945945899</v>
      </c>
      <c r="CK20" s="123">
        <v>185</v>
      </c>
      <c r="CL20" s="123">
        <v>411</v>
      </c>
      <c r="CM20" s="125"/>
      <c r="CN20" s="125">
        <v>3.0000000000000001E-3</v>
      </c>
      <c r="CO20" s="115"/>
      <c r="CP20" s="115">
        <v>172</v>
      </c>
      <c r="CQ20" s="115">
        <v>1</v>
      </c>
      <c r="CR20" s="126">
        <v>172</v>
      </c>
      <c r="CS20" s="79">
        <v>60.543999999999997</v>
      </c>
      <c r="CT20" s="79">
        <v>0</v>
      </c>
      <c r="CU20" s="79">
        <v>35.776000000000003</v>
      </c>
      <c r="CV20" s="79">
        <v>90.816000000000003</v>
      </c>
      <c r="CW20" s="79">
        <v>56.415999999999997</v>
      </c>
      <c r="CX20" s="79">
        <v>8.2560000000000002</v>
      </c>
      <c r="CY20" s="79">
        <v>0</v>
      </c>
      <c r="CZ20" s="79">
        <v>0</v>
      </c>
      <c r="DA20" s="79">
        <v>35.776000000000003</v>
      </c>
      <c r="DB20" s="85">
        <v>0.51538351254480297</v>
      </c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2"/>
      <c r="EK20" s="82"/>
      <c r="EL20" s="82"/>
      <c r="EM20" s="82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</row>
    <row r="21" spans="1:171">
      <c r="A21" s="53">
        <v>52</v>
      </c>
      <c r="B21" s="53" t="s">
        <v>252</v>
      </c>
      <c r="C21" s="87" t="s">
        <v>253</v>
      </c>
      <c r="D21" s="88" t="s">
        <v>254</v>
      </c>
      <c r="E21" s="72"/>
      <c r="F21" s="87" t="s">
        <v>195</v>
      </c>
      <c r="G21" s="89">
        <v>2024</v>
      </c>
      <c r="H21" s="115"/>
      <c r="I21" s="83">
        <v>61.056600000000003</v>
      </c>
      <c r="J21" s="127"/>
      <c r="K21" s="120">
        <v>370.04</v>
      </c>
      <c r="L21" s="115"/>
      <c r="M21" s="115"/>
      <c r="N21" s="115">
        <v>165</v>
      </c>
      <c r="O21" s="115"/>
      <c r="P21" s="115"/>
      <c r="Q21" s="115"/>
      <c r="R21" s="115"/>
      <c r="S21" s="115"/>
      <c r="T21" s="65">
        <v>241</v>
      </c>
      <c r="U21" s="115"/>
      <c r="V21" s="115"/>
      <c r="W21" s="115"/>
      <c r="X21" s="115"/>
      <c r="Y21" s="115"/>
      <c r="Z21" s="115"/>
      <c r="AA21" s="65">
        <v>200</v>
      </c>
      <c r="AB21" s="115"/>
      <c r="AC21" s="115"/>
      <c r="AD21" s="115"/>
      <c r="AE21" s="115"/>
      <c r="AF21" s="115"/>
      <c r="AG21" s="115"/>
      <c r="AH21" s="115"/>
      <c r="AI21" s="115">
        <v>28</v>
      </c>
      <c r="AJ21" s="115"/>
      <c r="AK21" s="115"/>
      <c r="AL21" s="115"/>
      <c r="AM21" s="115"/>
      <c r="AN21" s="115"/>
      <c r="AO21" s="115"/>
      <c r="AP21" s="115"/>
      <c r="AQ21" s="115"/>
      <c r="AR21" s="115">
        <v>8</v>
      </c>
      <c r="AS21" s="117">
        <v>100000</v>
      </c>
      <c r="AT21" s="117"/>
      <c r="AU21" s="65">
        <v>428</v>
      </c>
      <c r="AV21" s="115">
        <v>301.60000000000002</v>
      </c>
      <c r="AW21" s="115">
        <v>126.4</v>
      </c>
      <c r="AX21" s="128">
        <v>0.70467289719626203</v>
      </c>
      <c r="AY21" s="115">
        <v>1904.6</v>
      </c>
      <c r="AZ21" s="115">
        <v>1372</v>
      </c>
      <c r="BA21" s="115">
        <v>284.39999999999998</v>
      </c>
      <c r="BB21" s="66">
        <v>743.16882527999996</v>
      </c>
      <c r="BC21" s="67">
        <v>144.51743999999999</v>
      </c>
      <c r="BD21" s="68">
        <v>0.19446111715672501</v>
      </c>
      <c r="BE21" s="69">
        <v>598.65138528</v>
      </c>
      <c r="BF21" s="115"/>
      <c r="BG21" s="115"/>
      <c r="BH21" s="70"/>
      <c r="BI21" s="70"/>
      <c r="BJ21" s="115"/>
      <c r="BK21" s="115"/>
      <c r="BL21" s="115" t="s">
        <v>239</v>
      </c>
      <c r="BM21" s="66">
        <v>85</v>
      </c>
      <c r="BN21" s="66">
        <v>82.157106061326004</v>
      </c>
      <c r="BO21" s="129">
        <v>563.08411214953298</v>
      </c>
      <c r="BP21" s="59"/>
      <c r="BQ21" s="71">
        <v>467.28971962616799</v>
      </c>
      <c r="BR21" s="130">
        <v>324.28701501196502</v>
      </c>
      <c r="BS21" s="115"/>
      <c r="BT21" s="115"/>
      <c r="BU21" s="115"/>
      <c r="BV21" s="115"/>
      <c r="BW21" s="115"/>
      <c r="BX21" s="115"/>
      <c r="BY21" s="115"/>
      <c r="BZ21" s="115"/>
      <c r="CA21" s="121" t="s">
        <v>244</v>
      </c>
      <c r="CB21" s="121" t="s">
        <v>255</v>
      </c>
      <c r="CC21" s="115"/>
      <c r="CD21" s="72" t="s">
        <v>248</v>
      </c>
      <c r="CE21" s="122" t="s">
        <v>249</v>
      </c>
      <c r="CF21" s="122"/>
      <c r="CG21" s="74">
        <v>165</v>
      </c>
      <c r="CH21" s="74">
        <v>3.19</v>
      </c>
      <c r="CI21" s="105">
        <v>526.35</v>
      </c>
      <c r="CJ21" s="74">
        <v>2.6</v>
      </c>
      <c r="CK21" s="131">
        <v>202.44230769230799</v>
      </c>
      <c r="CL21" s="131">
        <v>422.48603351955302</v>
      </c>
      <c r="CM21" s="125"/>
      <c r="CN21" s="125"/>
      <c r="CO21" s="115"/>
      <c r="CP21" s="115">
        <v>116</v>
      </c>
      <c r="CQ21" s="115">
        <v>1</v>
      </c>
      <c r="CR21" s="132">
        <v>116</v>
      </c>
      <c r="CS21" s="79">
        <v>44.774839999999998</v>
      </c>
      <c r="CT21" s="79">
        <v>0</v>
      </c>
      <c r="CU21" s="79">
        <v>26.45786</v>
      </c>
      <c r="CV21" s="79">
        <v>67.162260000000003</v>
      </c>
      <c r="CW21" s="79">
        <v>41.722009999999997</v>
      </c>
      <c r="CX21" s="79">
        <v>6.1056600000000003</v>
      </c>
      <c r="CY21" s="79">
        <v>0</v>
      </c>
      <c r="CZ21" s="79">
        <v>0</v>
      </c>
      <c r="DA21" s="79">
        <v>26.45786</v>
      </c>
      <c r="DB21" s="85">
        <v>0.49691703271027998</v>
      </c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2"/>
      <c r="EK21" s="82"/>
      <c r="EL21" s="82"/>
      <c r="EM21" s="82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</row>
    <row r="22" spans="1:171">
      <c r="A22" s="53">
        <v>30</v>
      </c>
      <c r="B22" s="53" t="s">
        <v>256</v>
      </c>
      <c r="C22" s="82" t="s">
        <v>257</v>
      </c>
      <c r="D22" s="133" t="s">
        <v>258</v>
      </c>
      <c r="E22" s="134"/>
      <c r="F22" s="82" t="s">
        <v>195</v>
      </c>
      <c r="G22" s="135">
        <v>2020</v>
      </c>
      <c r="H22" s="115">
        <v>68</v>
      </c>
      <c r="I22" s="127">
        <v>75</v>
      </c>
      <c r="J22" s="127">
        <v>0.90666666666666695</v>
      </c>
      <c r="K22" s="120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 t="b">
        <f>FALSE()</f>
        <v>0</v>
      </c>
      <c r="AQ22" s="115"/>
      <c r="AR22" s="115"/>
      <c r="AS22" s="117"/>
      <c r="AT22" s="117"/>
      <c r="AU22" s="65">
        <v>534</v>
      </c>
      <c r="AV22" s="115"/>
      <c r="AW22" s="115"/>
      <c r="AX22" s="128"/>
      <c r="AY22" s="115">
        <v>2340</v>
      </c>
      <c r="AZ22" s="115">
        <v>870</v>
      </c>
      <c r="BA22" s="115">
        <v>210</v>
      </c>
      <c r="BB22" s="120">
        <v>427.51799999999997</v>
      </c>
      <c r="BC22" s="67"/>
      <c r="BD22" s="68"/>
      <c r="BE22" s="68"/>
      <c r="BF22" s="115"/>
      <c r="BG22" s="115"/>
      <c r="BH22" s="70"/>
      <c r="BI22" s="70"/>
      <c r="BJ22" s="115"/>
      <c r="BK22" s="115"/>
      <c r="BL22" s="115"/>
      <c r="BM22" s="66">
        <v>140.44943820224699</v>
      </c>
      <c r="BN22" s="66">
        <v>175.43120991396901</v>
      </c>
      <c r="BO22" s="91"/>
      <c r="BP22" s="59"/>
      <c r="BQ22" s="71"/>
      <c r="BR22" s="115"/>
      <c r="BS22" s="115"/>
      <c r="BT22" s="115"/>
      <c r="BU22" s="115"/>
      <c r="BV22" s="115" t="s">
        <v>259</v>
      </c>
      <c r="BW22" s="115"/>
      <c r="BX22" s="115">
        <v>12</v>
      </c>
      <c r="BY22" s="115"/>
      <c r="BZ22" s="115"/>
      <c r="CA22" s="121" t="s">
        <v>259</v>
      </c>
      <c r="CB22" s="121"/>
      <c r="CC22" s="115"/>
      <c r="CD22" s="72" t="s">
        <v>260</v>
      </c>
      <c r="CE22" s="122" t="s">
        <v>225</v>
      </c>
      <c r="CF22" s="122"/>
      <c r="CG22" s="123"/>
      <c r="CH22" s="123"/>
      <c r="CI22" s="123"/>
      <c r="CJ22" s="123"/>
      <c r="CK22" s="136"/>
      <c r="CL22" s="136"/>
      <c r="CM22" s="125"/>
      <c r="CN22" s="125"/>
      <c r="CO22" s="115"/>
      <c r="CP22" s="115"/>
      <c r="CQ22" s="115"/>
      <c r="CR22" s="126"/>
      <c r="CS22" s="79">
        <v>37.5</v>
      </c>
      <c r="CT22" s="79">
        <v>6.25</v>
      </c>
      <c r="CU22" s="79">
        <v>25</v>
      </c>
      <c r="CV22" s="79">
        <v>56.25</v>
      </c>
      <c r="CW22" s="79">
        <v>0</v>
      </c>
      <c r="CX22" s="79">
        <v>6.25</v>
      </c>
      <c r="CY22" s="79">
        <v>6.25</v>
      </c>
      <c r="CZ22" s="79">
        <v>48.75</v>
      </c>
      <c r="DA22" s="79">
        <v>25</v>
      </c>
      <c r="DB22" s="85">
        <v>0.39559925093633003</v>
      </c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2"/>
      <c r="EK22" s="82"/>
      <c r="EL22" s="82"/>
      <c r="EM22" s="82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</row>
    <row r="23" spans="1:171">
      <c r="A23" s="53">
        <v>30</v>
      </c>
      <c r="B23" s="53" t="s">
        <v>261</v>
      </c>
      <c r="C23" s="82" t="s">
        <v>257</v>
      </c>
      <c r="D23" s="133" t="s">
        <v>262</v>
      </c>
      <c r="E23" s="134"/>
      <c r="F23" s="82" t="s">
        <v>195</v>
      </c>
      <c r="G23" s="135">
        <v>2020</v>
      </c>
      <c r="H23" s="115">
        <v>68</v>
      </c>
      <c r="I23" s="127">
        <v>75</v>
      </c>
      <c r="J23" s="127">
        <v>0.90666666666666695</v>
      </c>
      <c r="K23" s="120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 t="b">
        <f>FALSE()</f>
        <v>0</v>
      </c>
      <c r="AQ23" s="115"/>
      <c r="AR23" s="115"/>
      <c r="AS23" s="117"/>
      <c r="AT23" s="117"/>
      <c r="AU23" s="65">
        <v>534</v>
      </c>
      <c r="AV23" s="115"/>
      <c r="AW23" s="115"/>
      <c r="AX23" s="128"/>
      <c r="AY23" s="115">
        <v>2340</v>
      </c>
      <c r="AZ23" s="115">
        <v>870</v>
      </c>
      <c r="BA23" s="115">
        <v>210</v>
      </c>
      <c r="BB23" s="120">
        <v>427.51799999999997</v>
      </c>
      <c r="BC23" s="67"/>
      <c r="BD23" s="68"/>
      <c r="BE23" s="68"/>
      <c r="BF23" s="115"/>
      <c r="BG23" s="115"/>
      <c r="BH23" s="70"/>
      <c r="BI23" s="70"/>
      <c r="BJ23" s="115"/>
      <c r="BK23" s="115"/>
      <c r="BL23" s="115"/>
      <c r="BM23" s="66">
        <v>140.44943820224699</v>
      </c>
      <c r="BN23" s="66">
        <v>175.43120991396901</v>
      </c>
      <c r="BO23" s="91"/>
      <c r="BP23" s="59"/>
      <c r="BQ23" s="71"/>
      <c r="BR23" s="115"/>
      <c r="BS23" s="115"/>
      <c r="BT23" s="115"/>
      <c r="BU23" s="115"/>
      <c r="BV23" s="115" t="s">
        <v>259</v>
      </c>
      <c r="BW23" s="115"/>
      <c r="BX23" s="115">
        <v>12</v>
      </c>
      <c r="BY23" s="115"/>
      <c r="BZ23" s="115"/>
      <c r="CA23" s="121" t="s">
        <v>259</v>
      </c>
      <c r="CB23" s="121"/>
      <c r="CC23" s="115"/>
      <c r="CD23" s="72" t="s">
        <v>260</v>
      </c>
      <c r="CE23" s="122" t="s">
        <v>225</v>
      </c>
      <c r="CF23" s="122"/>
      <c r="CG23" s="123"/>
      <c r="CH23" s="123"/>
      <c r="CI23" s="123"/>
      <c r="CJ23" s="123"/>
      <c r="CK23" s="136"/>
      <c r="CL23" s="136"/>
      <c r="CM23" s="125"/>
      <c r="CN23" s="125"/>
      <c r="CO23" s="115"/>
      <c r="CP23" s="115"/>
      <c r="CQ23" s="115"/>
      <c r="CR23" s="126"/>
      <c r="CS23" s="79">
        <v>37.5</v>
      </c>
      <c r="CT23" s="79">
        <v>6.25</v>
      </c>
      <c r="CU23" s="79">
        <v>25</v>
      </c>
      <c r="CV23" s="79">
        <v>56.25</v>
      </c>
      <c r="CW23" s="79">
        <v>0</v>
      </c>
      <c r="CX23" s="79">
        <v>6.25</v>
      </c>
      <c r="CY23" s="79">
        <v>6.25</v>
      </c>
      <c r="CZ23" s="79">
        <v>48.75</v>
      </c>
      <c r="DA23" s="79">
        <v>25</v>
      </c>
      <c r="DB23" s="85">
        <v>0.39559925093633003</v>
      </c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2"/>
      <c r="EK23" s="82"/>
      <c r="EL23" s="82"/>
      <c r="EM23" s="82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</row>
    <row r="24" spans="1:171">
      <c r="A24" s="53">
        <v>30</v>
      </c>
      <c r="B24" s="53" t="s">
        <v>263</v>
      </c>
      <c r="C24" s="82" t="s">
        <v>257</v>
      </c>
      <c r="D24" s="133" t="s">
        <v>264</v>
      </c>
      <c r="E24" s="134"/>
      <c r="F24" s="82" t="s">
        <v>195</v>
      </c>
      <c r="G24" s="135">
        <v>2021</v>
      </c>
      <c r="H24" s="115">
        <v>68</v>
      </c>
      <c r="I24" s="127">
        <v>75</v>
      </c>
      <c r="J24" s="127">
        <v>0.90666666666666695</v>
      </c>
      <c r="K24" s="120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 t="b">
        <f>FALSE()</f>
        <v>0</v>
      </c>
      <c r="AQ24" s="115"/>
      <c r="AR24" s="115"/>
      <c r="AS24" s="117"/>
      <c r="AT24" s="117"/>
      <c r="AU24" s="65">
        <v>534</v>
      </c>
      <c r="AV24" s="115"/>
      <c r="AW24" s="115"/>
      <c r="AX24" s="128"/>
      <c r="AY24" s="115">
        <v>2340</v>
      </c>
      <c r="AZ24" s="115">
        <v>870</v>
      </c>
      <c r="BA24" s="115">
        <v>210</v>
      </c>
      <c r="BB24" s="120">
        <v>427.51799999999997</v>
      </c>
      <c r="BC24" s="67"/>
      <c r="BD24" s="68"/>
      <c r="BE24" s="68"/>
      <c r="BF24" s="115"/>
      <c r="BG24" s="115"/>
      <c r="BH24" s="70"/>
      <c r="BI24" s="70"/>
      <c r="BJ24" s="115"/>
      <c r="BK24" s="115"/>
      <c r="BL24" s="115"/>
      <c r="BM24" s="66">
        <v>140.44943820224699</v>
      </c>
      <c r="BN24" s="66">
        <v>175.43120991396901</v>
      </c>
      <c r="BO24" s="91"/>
      <c r="BP24" s="59"/>
      <c r="BQ24" s="71"/>
      <c r="BR24" s="115"/>
      <c r="BS24" s="115"/>
      <c r="BT24" s="115"/>
      <c r="BU24" s="115"/>
      <c r="BV24" s="115" t="s">
        <v>259</v>
      </c>
      <c r="BW24" s="115"/>
      <c r="BX24" s="115">
        <v>12</v>
      </c>
      <c r="BY24" s="115"/>
      <c r="BZ24" s="115"/>
      <c r="CA24" s="121" t="s">
        <v>259</v>
      </c>
      <c r="CB24" s="121"/>
      <c r="CC24" s="115"/>
      <c r="CD24" s="72" t="s">
        <v>260</v>
      </c>
      <c r="CE24" s="122" t="s">
        <v>225</v>
      </c>
      <c r="CF24" s="122"/>
      <c r="CG24" s="123"/>
      <c r="CH24" s="123"/>
      <c r="CI24" s="123"/>
      <c r="CJ24" s="123"/>
      <c r="CK24" s="136"/>
      <c r="CL24" s="136"/>
      <c r="CM24" s="125"/>
      <c r="CN24" s="125"/>
      <c r="CO24" s="115"/>
      <c r="CP24" s="115"/>
      <c r="CQ24" s="115"/>
      <c r="CR24" s="126"/>
      <c r="CS24" s="79">
        <v>37.5</v>
      </c>
      <c r="CT24" s="79">
        <v>6.25</v>
      </c>
      <c r="CU24" s="79">
        <v>25</v>
      </c>
      <c r="CV24" s="79">
        <v>56.25</v>
      </c>
      <c r="CW24" s="79">
        <v>0</v>
      </c>
      <c r="CX24" s="79">
        <v>6.25</v>
      </c>
      <c r="CY24" s="79">
        <v>6.25</v>
      </c>
      <c r="CZ24" s="79">
        <v>48.75</v>
      </c>
      <c r="DA24" s="79">
        <v>25</v>
      </c>
      <c r="DB24" s="85">
        <v>0.39559925093633003</v>
      </c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2"/>
      <c r="EK24" s="82"/>
      <c r="EL24" s="82"/>
      <c r="EM24" s="82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</row>
    <row r="25" spans="1:171">
      <c r="A25" s="53">
        <v>30</v>
      </c>
      <c r="B25" s="53" t="s">
        <v>265</v>
      </c>
      <c r="C25" s="82" t="s">
        <v>257</v>
      </c>
      <c r="D25" s="133" t="s">
        <v>266</v>
      </c>
      <c r="E25" s="134"/>
      <c r="F25" s="82" t="s">
        <v>195</v>
      </c>
      <c r="G25" s="135">
        <v>2021</v>
      </c>
      <c r="H25" s="115">
        <v>68</v>
      </c>
      <c r="I25" s="127">
        <v>75</v>
      </c>
      <c r="J25" s="127">
        <v>0.90666666666666695</v>
      </c>
      <c r="K25" s="120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 t="b">
        <f>FALSE()</f>
        <v>0</v>
      </c>
      <c r="AQ25" s="115"/>
      <c r="AR25" s="115"/>
      <c r="AS25" s="117"/>
      <c r="AT25" s="117"/>
      <c r="AU25" s="65">
        <v>534</v>
      </c>
      <c r="AV25" s="115"/>
      <c r="AW25" s="115"/>
      <c r="AX25" s="128"/>
      <c r="AY25" s="115">
        <v>2340</v>
      </c>
      <c r="AZ25" s="115">
        <v>870</v>
      </c>
      <c r="BA25" s="115">
        <v>210</v>
      </c>
      <c r="BB25" s="120">
        <v>427.51799999999997</v>
      </c>
      <c r="BC25" s="67"/>
      <c r="BD25" s="68"/>
      <c r="BE25" s="68"/>
      <c r="BF25" s="115"/>
      <c r="BG25" s="115"/>
      <c r="BH25" s="70"/>
      <c r="BI25" s="70"/>
      <c r="BJ25" s="115"/>
      <c r="BK25" s="115"/>
      <c r="BL25" s="115"/>
      <c r="BM25" s="66">
        <v>140.44943820224699</v>
      </c>
      <c r="BN25" s="66">
        <v>175.43120991396901</v>
      </c>
      <c r="BO25" s="91"/>
      <c r="BP25" s="59"/>
      <c r="BQ25" s="71"/>
      <c r="BR25" s="115"/>
      <c r="BS25" s="115"/>
      <c r="BT25" s="115"/>
      <c r="BU25" s="115"/>
      <c r="BV25" s="115" t="s">
        <v>259</v>
      </c>
      <c r="BW25" s="115"/>
      <c r="BX25" s="115">
        <v>12</v>
      </c>
      <c r="BY25" s="115"/>
      <c r="BZ25" s="115"/>
      <c r="CA25" s="121" t="s">
        <v>259</v>
      </c>
      <c r="CB25" s="121"/>
      <c r="CC25" s="115"/>
      <c r="CD25" s="72" t="s">
        <v>260</v>
      </c>
      <c r="CE25" s="122" t="s">
        <v>225</v>
      </c>
      <c r="CF25" s="122"/>
      <c r="CG25" s="123"/>
      <c r="CH25" s="123"/>
      <c r="CI25" s="123"/>
      <c r="CJ25" s="123"/>
      <c r="CK25" s="136"/>
      <c r="CL25" s="136"/>
      <c r="CM25" s="125"/>
      <c r="CN25" s="125"/>
      <c r="CO25" s="115"/>
      <c r="CP25" s="115"/>
      <c r="CQ25" s="115"/>
      <c r="CR25" s="126"/>
      <c r="CS25" s="79">
        <v>37.5</v>
      </c>
      <c r="CT25" s="79">
        <v>6.25</v>
      </c>
      <c r="CU25" s="79">
        <v>25</v>
      </c>
      <c r="CV25" s="79">
        <v>56.25</v>
      </c>
      <c r="CW25" s="79">
        <v>0</v>
      </c>
      <c r="CX25" s="79">
        <v>6.25</v>
      </c>
      <c r="CY25" s="79">
        <v>6.25</v>
      </c>
      <c r="CZ25" s="79">
        <v>48.75</v>
      </c>
      <c r="DA25" s="79">
        <v>25</v>
      </c>
      <c r="DB25" s="85">
        <v>0.39559925093633003</v>
      </c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2"/>
      <c r="EK25" s="82"/>
      <c r="EL25" s="82"/>
      <c r="EM25" s="82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</row>
    <row r="26" spans="1:171">
      <c r="A26" s="53">
        <v>53</v>
      </c>
      <c r="B26" s="53" t="s">
        <v>267</v>
      </c>
      <c r="C26" s="87" t="s">
        <v>268</v>
      </c>
      <c r="D26" s="88" t="s">
        <v>269</v>
      </c>
      <c r="E26" s="72"/>
      <c r="F26" s="87" t="s">
        <v>195</v>
      </c>
      <c r="G26" s="89">
        <v>2018</v>
      </c>
      <c r="H26" s="72">
        <v>84.7</v>
      </c>
      <c r="I26" s="90">
        <v>90.2</v>
      </c>
      <c r="J26" s="90">
        <v>0.93902439024390305</v>
      </c>
      <c r="K26" s="71">
        <v>388.8</v>
      </c>
      <c r="L26" s="72">
        <v>453.6</v>
      </c>
      <c r="M26" s="72">
        <v>270</v>
      </c>
      <c r="N26" s="101">
        <v>231.99588477366299</v>
      </c>
      <c r="O26" s="137">
        <v>4.3200000000000002E-2</v>
      </c>
      <c r="P26" s="72"/>
      <c r="Q26" s="72"/>
      <c r="R26" s="72"/>
      <c r="S26" s="72"/>
      <c r="T26" s="138">
        <v>326.66666666666703</v>
      </c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93" t="b">
        <f>FALSE()</f>
        <v>0</v>
      </c>
      <c r="AQ26" s="72"/>
      <c r="AR26" s="72">
        <v>8</v>
      </c>
      <c r="AS26" s="94">
        <v>100000</v>
      </c>
      <c r="AT26" s="94"/>
      <c r="AU26" s="72">
        <v>610</v>
      </c>
      <c r="AV26" s="72">
        <v>354</v>
      </c>
      <c r="AW26" s="72">
        <v>256</v>
      </c>
      <c r="AX26" s="95">
        <v>0.58032786885245902</v>
      </c>
      <c r="AY26" s="119">
        <v>2280</v>
      </c>
      <c r="AZ26" s="119">
        <v>1474</v>
      </c>
      <c r="BA26" s="119">
        <v>300</v>
      </c>
      <c r="BB26" s="61">
        <v>1008.216</v>
      </c>
      <c r="BC26" s="67"/>
      <c r="BD26" s="68"/>
      <c r="BE26" s="68"/>
      <c r="BF26" s="72"/>
      <c r="BG26" s="72"/>
      <c r="BH26" s="70"/>
      <c r="BI26" s="70"/>
      <c r="BJ26" s="72"/>
      <c r="BK26" s="72"/>
      <c r="BL26" s="72"/>
      <c r="BM26" s="71">
        <v>147.86885245901601</v>
      </c>
      <c r="BN26" s="139">
        <v>89.464955922143702</v>
      </c>
      <c r="BO26" s="71">
        <v>535.51912568306</v>
      </c>
      <c r="BP26" s="59"/>
      <c r="BQ26" s="71"/>
      <c r="BR26" s="139">
        <v>324.004644507394</v>
      </c>
      <c r="BS26" s="72"/>
      <c r="BT26" s="72"/>
      <c r="BU26" s="72"/>
      <c r="BV26" s="72"/>
      <c r="BW26" s="72">
        <v>36</v>
      </c>
      <c r="BX26" s="72">
        <v>12</v>
      </c>
      <c r="BY26" s="72">
        <v>12</v>
      </c>
      <c r="BZ26" s="72"/>
      <c r="CA26" s="87" t="s">
        <v>196</v>
      </c>
      <c r="CB26" s="96"/>
      <c r="CC26" s="109"/>
      <c r="CD26" s="72" t="s">
        <v>224</v>
      </c>
      <c r="CE26" s="89" t="s">
        <v>200</v>
      </c>
      <c r="CF26" s="89"/>
      <c r="CG26" s="97">
        <v>58</v>
      </c>
      <c r="CH26" s="97">
        <v>3.6</v>
      </c>
      <c r="CI26" s="97">
        <v>208.8</v>
      </c>
      <c r="CJ26" s="97">
        <v>0.82</v>
      </c>
      <c r="CK26" s="99">
        <v>254.63414634146301</v>
      </c>
      <c r="CL26" s="99"/>
      <c r="CM26" s="96">
        <v>1.6000000000000001E-3</v>
      </c>
      <c r="CN26" s="96"/>
      <c r="CO26" s="72"/>
      <c r="CP26" s="72">
        <v>108</v>
      </c>
      <c r="CQ26" s="72">
        <v>4</v>
      </c>
      <c r="CR26" s="140">
        <v>432</v>
      </c>
      <c r="CS26" s="79">
        <v>49.61</v>
      </c>
      <c r="CT26" s="79">
        <v>16.536666666666701</v>
      </c>
      <c r="CU26" s="79">
        <v>28.563333333333301</v>
      </c>
      <c r="CV26" s="79">
        <v>75.1666666666667</v>
      </c>
      <c r="CW26" s="79">
        <v>0</v>
      </c>
      <c r="CX26" s="79">
        <v>9.02</v>
      </c>
      <c r="CY26" s="79">
        <v>15.033333333333299</v>
      </c>
      <c r="CZ26" s="79">
        <v>48.106666666666698</v>
      </c>
      <c r="DA26" s="79">
        <v>28.563333333333301</v>
      </c>
      <c r="DB26" s="85">
        <v>0.44360655737704902</v>
      </c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2"/>
      <c r="EK26" s="82"/>
      <c r="EL26" s="82"/>
      <c r="EM26" s="82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</row>
    <row r="27" spans="1:171">
      <c r="A27" s="53">
        <v>17</v>
      </c>
      <c r="B27" s="53" t="s">
        <v>270</v>
      </c>
      <c r="C27" s="82" t="s">
        <v>271</v>
      </c>
      <c r="D27" s="133" t="s">
        <v>272</v>
      </c>
      <c r="E27" s="134"/>
      <c r="F27" s="82" t="s">
        <v>195</v>
      </c>
      <c r="G27" s="135"/>
      <c r="H27" s="141"/>
      <c r="I27" s="142">
        <v>5.8879999999999999</v>
      </c>
      <c r="J27" s="127"/>
      <c r="K27" s="91">
        <v>25.6</v>
      </c>
      <c r="L27" s="92"/>
      <c r="M27" s="92"/>
      <c r="N27" s="143">
        <v>230</v>
      </c>
      <c r="O27" s="143"/>
      <c r="P27" s="143"/>
      <c r="Q27" s="143"/>
      <c r="R27" s="143"/>
      <c r="S27" s="143"/>
      <c r="T27" s="143">
        <v>38.304000000000002</v>
      </c>
      <c r="U27" s="92">
        <v>1800</v>
      </c>
      <c r="V27" s="92"/>
      <c r="W27" s="92"/>
      <c r="X27" s="92"/>
      <c r="Y27" s="92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4"/>
      <c r="AT27" s="144"/>
      <c r="AU27" s="92">
        <v>46.7</v>
      </c>
      <c r="AV27" s="92"/>
      <c r="AW27" s="92"/>
      <c r="AX27" s="108"/>
      <c r="AY27" s="141">
        <v>622</v>
      </c>
      <c r="AZ27" s="141">
        <v>197</v>
      </c>
      <c r="BA27" s="141">
        <v>355</v>
      </c>
      <c r="BB27" s="66">
        <v>43.499569999999999</v>
      </c>
      <c r="BC27" s="67"/>
      <c r="BD27" s="68"/>
      <c r="BE27" s="68"/>
      <c r="BF27" s="141"/>
      <c r="BG27" s="141"/>
      <c r="BH27" s="70"/>
      <c r="BI27" s="70"/>
      <c r="BJ27" s="141"/>
      <c r="BK27" s="141"/>
      <c r="BL27" s="134"/>
      <c r="BM27" s="91">
        <v>126.081370449679</v>
      </c>
      <c r="BN27" s="130">
        <v>135.35765985732701</v>
      </c>
      <c r="BO27" s="91">
        <v>820.21413276231306</v>
      </c>
      <c r="BP27" s="59"/>
      <c r="BQ27" s="71"/>
      <c r="BR27" s="130">
        <v>880.56042852837402</v>
      </c>
      <c r="BS27" s="130"/>
      <c r="BT27" s="130"/>
      <c r="BU27" s="130"/>
      <c r="BV27" s="130"/>
      <c r="BW27" s="130"/>
      <c r="BX27" s="130"/>
      <c r="BY27" s="130"/>
      <c r="BZ27" s="134"/>
      <c r="CA27" s="81"/>
      <c r="CB27" s="81"/>
      <c r="CC27" s="53"/>
      <c r="CD27" s="72"/>
      <c r="CE27" s="143"/>
      <c r="CF27" s="143"/>
      <c r="CG27" s="143"/>
      <c r="CH27" s="143"/>
      <c r="CI27" s="143"/>
      <c r="CJ27" s="143"/>
      <c r="CK27" s="143"/>
      <c r="CL27" s="143"/>
      <c r="CM27" s="81"/>
      <c r="CN27" s="81"/>
      <c r="CO27" s="141"/>
      <c r="CP27" s="141"/>
      <c r="CQ27" s="141"/>
      <c r="CR27" s="145"/>
      <c r="CS27" s="143"/>
      <c r="CT27" s="143"/>
      <c r="CU27" s="53"/>
      <c r="CV27" s="53"/>
      <c r="CW27" s="53"/>
      <c r="CX27" s="53"/>
      <c r="CY27" s="53"/>
      <c r="CZ27" s="53"/>
      <c r="DA27" s="53"/>
      <c r="DB27" s="80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2"/>
      <c r="EK27" s="82"/>
      <c r="EL27" s="82"/>
      <c r="EM27" s="82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</row>
    <row r="28" spans="1:171">
      <c r="A28" s="53">
        <v>30</v>
      </c>
      <c r="B28" s="53" t="s">
        <v>273</v>
      </c>
      <c r="C28" s="87" t="s">
        <v>274</v>
      </c>
      <c r="D28" s="88" t="s">
        <v>275</v>
      </c>
      <c r="E28" s="72"/>
      <c r="F28" s="87" t="s">
        <v>195</v>
      </c>
      <c r="G28" s="89">
        <v>2022</v>
      </c>
      <c r="H28" s="65">
        <v>99</v>
      </c>
      <c r="I28" s="65">
        <v>107.8</v>
      </c>
      <c r="J28" s="107">
        <v>0.91836734693877597</v>
      </c>
      <c r="K28" s="139">
        <v>788</v>
      </c>
      <c r="L28" s="72"/>
      <c r="M28" s="72"/>
      <c r="N28" s="61">
        <v>136.802030456853</v>
      </c>
      <c r="O28" s="146"/>
      <c r="P28" s="146"/>
      <c r="Q28" s="146"/>
      <c r="R28" s="146"/>
      <c r="S28" s="146"/>
      <c r="T28" s="61">
        <v>157.894736842105</v>
      </c>
      <c r="U28" s="72"/>
      <c r="V28" s="72"/>
      <c r="W28" s="72"/>
      <c r="X28" s="72"/>
      <c r="Y28" s="72"/>
      <c r="Z28" s="72"/>
      <c r="AA28" s="65">
        <v>150</v>
      </c>
      <c r="AB28" s="65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93" t="b">
        <f>FALSE()</f>
        <v>0</v>
      </c>
      <c r="AQ28" s="72"/>
      <c r="AR28" s="72"/>
      <c r="AS28" s="94"/>
      <c r="AT28" s="94"/>
      <c r="AU28" s="65">
        <v>495</v>
      </c>
      <c r="AV28" s="61">
        <v>326.66666666666703</v>
      </c>
      <c r="AW28" s="61">
        <v>168.333333333333</v>
      </c>
      <c r="AX28" s="147">
        <v>0.65993265993266004</v>
      </c>
      <c r="AY28" s="72">
        <v>1985</v>
      </c>
      <c r="AZ28" s="72">
        <v>1270</v>
      </c>
      <c r="BA28" s="72">
        <v>100</v>
      </c>
      <c r="BB28" s="66">
        <v>272.09500000000003</v>
      </c>
      <c r="BC28" s="67"/>
      <c r="BD28" s="68"/>
      <c r="BE28" s="68"/>
      <c r="BF28" s="72"/>
      <c r="BG28" s="72"/>
      <c r="BH28" s="70"/>
      <c r="BI28" s="70"/>
      <c r="BJ28" s="72"/>
      <c r="BK28" s="72"/>
      <c r="BL28" s="72" t="s">
        <v>276</v>
      </c>
      <c r="BM28" s="71">
        <v>217.777777777778</v>
      </c>
      <c r="BN28" s="71">
        <v>396.18515591980702</v>
      </c>
      <c r="BO28" s="71">
        <v>318.97926634768697</v>
      </c>
      <c r="BP28" s="59"/>
      <c r="BQ28" s="66">
        <v>303.030303030303</v>
      </c>
      <c r="BR28" s="71">
        <v>580.29268028484603</v>
      </c>
      <c r="BS28" s="72"/>
      <c r="BT28" s="72"/>
      <c r="BU28" s="72"/>
      <c r="BV28" s="72"/>
      <c r="BW28" s="72"/>
      <c r="BX28" s="72"/>
      <c r="BY28" s="72"/>
      <c r="BZ28" s="72"/>
      <c r="CA28" s="87"/>
      <c r="CB28" s="87"/>
      <c r="CC28" s="72"/>
      <c r="CD28" s="72"/>
      <c r="CE28" s="97"/>
      <c r="CF28" s="97"/>
      <c r="CG28" s="97"/>
      <c r="CH28" s="97"/>
      <c r="CI28" s="97"/>
      <c r="CJ28" s="97"/>
      <c r="CK28" s="61">
        <v>330</v>
      </c>
      <c r="CL28" s="97"/>
      <c r="CM28" s="96"/>
      <c r="CN28" s="96"/>
      <c r="CO28" s="72"/>
      <c r="CP28" s="72">
        <v>216</v>
      </c>
      <c r="CQ28" s="72">
        <v>1</v>
      </c>
      <c r="CR28" s="140">
        <v>216</v>
      </c>
      <c r="CS28" s="53"/>
      <c r="CT28" s="53"/>
      <c r="CU28" s="53"/>
      <c r="CV28" s="53"/>
      <c r="CW28" s="53"/>
      <c r="CX28" s="53"/>
      <c r="CY28" s="53"/>
      <c r="CZ28" s="53"/>
      <c r="DA28" s="53"/>
      <c r="DB28" s="80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2"/>
      <c r="EK28" s="82"/>
      <c r="EL28" s="82"/>
      <c r="EM28" s="82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</row>
    <row r="29" spans="1:171">
      <c r="A29" s="53">
        <v>19</v>
      </c>
      <c r="B29" s="53" t="s">
        <v>277</v>
      </c>
      <c r="C29" s="82" t="s">
        <v>278</v>
      </c>
      <c r="D29" s="133" t="s">
        <v>279</v>
      </c>
      <c r="E29" s="134"/>
      <c r="F29" s="82" t="s">
        <v>195</v>
      </c>
      <c r="G29" s="135">
        <v>2020</v>
      </c>
      <c r="H29" s="115">
        <v>95</v>
      </c>
      <c r="I29" s="127">
        <v>100</v>
      </c>
      <c r="J29" s="127">
        <v>0.95</v>
      </c>
      <c r="K29" s="120"/>
      <c r="L29" s="115"/>
      <c r="M29" s="115"/>
      <c r="N29" s="115"/>
      <c r="O29" s="115"/>
      <c r="P29" s="115"/>
      <c r="Q29" s="115"/>
      <c r="R29" s="115"/>
      <c r="S29" s="115"/>
      <c r="T29" s="115">
        <v>320</v>
      </c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 t="b">
        <f>TRUE()</f>
        <v>1</v>
      </c>
      <c r="AQ29" s="115" t="s">
        <v>278</v>
      </c>
      <c r="AR29" s="115"/>
      <c r="AS29" s="117"/>
      <c r="AT29" s="117"/>
      <c r="AU29" s="115">
        <v>555</v>
      </c>
      <c r="AV29" s="115"/>
      <c r="AW29" s="115"/>
      <c r="AX29" s="128"/>
      <c r="AY29" s="115">
        <v>2062</v>
      </c>
      <c r="AZ29" s="115">
        <v>1539</v>
      </c>
      <c r="BA29" s="115">
        <v>185.6</v>
      </c>
      <c r="BB29" s="66">
        <v>588.98638080000001</v>
      </c>
      <c r="BC29" s="67"/>
      <c r="BD29" s="68"/>
      <c r="BE29" s="68"/>
      <c r="BF29" s="115"/>
      <c r="BG29" s="115"/>
      <c r="BH29" s="70"/>
      <c r="BI29" s="70"/>
      <c r="BJ29" s="115"/>
      <c r="BK29" s="115"/>
      <c r="BL29" s="115"/>
      <c r="BM29" s="91">
        <v>180.18018018018</v>
      </c>
      <c r="BN29" s="130">
        <v>169.783212753024</v>
      </c>
      <c r="BO29" s="91">
        <v>576.57657657657705</v>
      </c>
      <c r="BP29" s="59"/>
      <c r="BQ29" s="71"/>
      <c r="BR29" s="130">
        <v>543.30628080967699</v>
      </c>
      <c r="BS29" s="115"/>
      <c r="BT29" s="115"/>
      <c r="BU29" s="115"/>
      <c r="BV29" s="115"/>
      <c r="BW29" s="115"/>
      <c r="BX29" s="115"/>
      <c r="BY29" s="115"/>
      <c r="BZ29" s="115"/>
      <c r="CA29" s="121"/>
      <c r="CB29" s="121"/>
      <c r="CC29" s="115"/>
      <c r="CD29" s="72"/>
      <c r="CE29" s="123"/>
      <c r="CF29" s="123"/>
      <c r="CG29" s="123"/>
      <c r="CH29" s="123"/>
      <c r="CI29" s="123"/>
      <c r="CJ29" s="123"/>
      <c r="CK29" s="123"/>
      <c r="CL29" s="123"/>
      <c r="CM29" s="125"/>
      <c r="CN29" s="125"/>
      <c r="CO29" s="115"/>
      <c r="CP29" s="115"/>
      <c r="CQ29" s="115"/>
      <c r="CR29" s="126"/>
      <c r="CS29" s="53"/>
      <c r="CT29" s="53"/>
      <c r="CU29" s="53"/>
      <c r="CV29" s="53"/>
      <c r="CW29" s="53"/>
      <c r="CX29" s="53"/>
      <c r="CY29" s="53"/>
      <c r="CZ29" s="53"/>
      <c r="DA29" s="53"/>
      <c r="DB29" s="80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2"/>
      <c r="EK29" s="82"/>
      <c r="EL29" s="82"/>
      <c r="EM29" s="82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</row>
    <row r="30" spans="1:171">
      <c r="A30" s="53">
        <v>19</v>
      </c>
      <c r="B30" s="53" t="s">
        <v>280</v>
      </c>
      <c r="C30" s="82" t="s">
        <v>278</v>
      </c>
      <c r="D30" s="133" t="s">
        <v>281</v>
      </c>
      <c r="E30" s="134"/>
      <c r="F30" s="82" t="s">
        <v>195</v>
      </c>
      <c r="G30" s="135">
        <v>2022</v>
      </c>
      <c r="H30" s="115">
        <v>95</v>
      </c>
      <c r="I30" s="127">
        <v>100</v>
      </c>
      <c r="J30" s="127">
        <v>0.95</v>
      </c>
      <c r="K30" s="120"/>
      <c r="L30" s="115"/>
      <c r="M30" s="115"/>
      <c r="N30" s="115"/>
      <c r="O30" s="115"/>
      <c r="P30" s="115"/>
      <c r="Q30" s="115"/>
      <c r="R30" s="115"/>
      <c r="S30" s="115"/>
      <c r="T30" s="115">
        <v>480</v>
      </c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 t="b">
        <f>TRUE()</f>
        <v>1</v>
      </c>
      <c r="AQ30" s="115" t="s">
        <v>278</v>
      </c>
      <c r="AR30" s="115"/>
      <c r="AS30" s="117"/>
      <c r="AT30" s="117"/>
      <c r="AU30" s="115">
        <v>555</v>
      </c>
      <c r="AV30" s="115"/>
      <c r="AW30" s="115"/>
      <c r="AX30" s="128"/>
      <c r="AY30" s="115">
        <v>2062</v>
      </c>
      <c r="AZ30" s="115">
        <v>1539</v>
      </c>
      <c r="BA30" s="115">
        <v>185.6</v>
      </c>
      <c r="BB30" s="66">
        <v>588.98638080000001</v>
      </c>
      <c r="BC30" s="67"/>
      <c r="BD30" s="68"/>
      <c r="BE30" s="68"/>
      <c r="BF30" s="115"/>
      <c r="BG30" s="115"/>
      <c r="BH30" s="70"/>
      <c r="BI30" s="70"/>
      <c r="BJ30" s="115"/>
      <c r="BK30" s="115"/>
      <c r="BL30" s="115"/>
      <c r="BM30" s="91">
        <v>180.18018018018</v>
      </c>
      <c r="BN30" s="130">
        <v>169.783212753024</v>
      </c>
      <c r="BO30" s="91">
        <v>864.86486486486501</v>
      </c>
      <c r="BP30" s="59"/>
      <c r="BQ30" s="71"/>
      <c r="BR30" s="130">
        <v>814.95942121451503</v>
      </c>
      <c r="BS30" s="115"/>
      <c r="BT30" s="115"/>
      <c r="BU30" s="115"/>
      <c r="BV30" s="115"/>
      <c r="BW30" s="115"/>
      <c r="BX30" s="115"/>
      <c r="BY30" s="115"/>
      <c r="BZ30" s="115"/>
      <c r="CA30" s="121"/>
      <c r="CB30" s="121"/>
      <c r="CC30" s="115"/>
      <c r="CD30" s="72"/>
      <c r="CE30" s="123"/>
      <c r="CF30" s="123"/>
      <c r="CG30" s="123"/>
      <c r="CH30" s="123"/>
      <c r="CI30" s="123"/>
      <c r="CJ30" s="123"/>
      <c r="CK30" s="123"/>
      <c r="CL30" s="123"/>
      <c r="CM30" s="125"/>
      <c r="CN30" s="125"/>
      <c r="CO30" s="115"/>
      <c r="CP30" s="115"/>
      <c r="CQ30" s="115"/>
      <c r="CR30" s="126"/>
      <c r="CS30" s="53"/>
      <c r="CT30" s="53"/>
      <c r="CU30" s="53"/>
      <c r="CV30" s="53"/>
      <c r="CW30" s="53"/>
      <c r="CX30" s="53"/>
      <c r="CY30" s="53"/>
      <c r="CZ30" s="53"/>
      <c r="DA30" s="53"/>
      <c r="DB30" s="80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2"/>
      <c r="EK30" s="82"/>
      <c r="EL30" s="82"/>
      <c r="EM30" s="82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</row>
    <row r="31" spans="1:171">
      <c r="A31" s="53">
        <v>54</v>
      </c>
      <c r="B31" s="53" t="s">
        <v>282</v>
      </c>
      <c r="C31" s="82" t="s">
        <v>278</v>
      </c>
      <c r="D31" s="133" t="s">
        <v>283</v>
      </c>
      <c r="E31" s="52"/>
      <c r="F31" s="148" t="s">
        <v>195</v>
      </c>
      <c r="G31" s="135">
        <v>2023</v>
      </c>
      <c r="H31" s="115">
        <v>136.69999999999999</v>
      </c>
      <c r="I31" s="127">
        <v>148.26240000000001</v>
      </c>
      <c r="J31" s="127">
        <v>0.922013942847276</v>
      </c>
      <c r="K31" s="120">
        <v>336.96</v>
      </c>
      <c r="L31" s="115">
        <v>408</v>
      </c>
      <c r="M31" s="115">
        <v>240</v>
      </c>
      <c r="N31" s="101">
        <v>440</v>
      </c>
      <c r="O31" s="137">
        <v>4.8000000000000001E-2</v>
      </c>
      <c r="P31" s="115"/>
      <c r="Q31" s="115"/>
      <c r="R31" s="115"/>
      <c r="S31" s="115"/>
      <c r="T31" s="115">
        <v>360</v>
      </c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 t="b">
        <f>TRUE()</f>
        <v>1</v>
      </c>
      <c r="AQ31" s="115" t="s">
        <v>278</v>
      </c>
      <c r="AR31" s="115"/>
      <c r="AS31" s="117"/>
      <c r="AT31" s="117"/>
      <c r="AU31" s="115">
        <v>575</v>
      </c>
      <c r="AV31" s="120">
        <v>415.87200000000001</v>
      </c>
      <c r="AW31" s="91">
        <v>159.12799999999999</v>
      </c>
      <c r="AX31" s="108">
        <v>0.72325565217391297</v>
      </c>
      <c r="AY31" s="115">
        <v>2062</v>
      </c>
      <c r="AZ31" s="115">
        <v>1539</v>
      </c>
      <c r="BA31" s="115">
        <v>185.6</v>
      </c>
      <c r="BB31" s="66">
        <v>588.98638080000001</v>
      </c>
      <c r="BC31" s="67">
        <v>191.306322580645</v>
      </c>
      <c r="BD31" s="68">
        <v>0.32480602067708297</v>
      </c>
      <c r="BE31" s="69">
        <v>397.68005821935498</v>
      </c>
      <c r="BF31" s="115"/>
      <c r="BG31" s="115"/>
      <c r="BH31" s="70"/>
      <c r="BI31" s="70"/>
      <c r="BJ31" s="115"/>
      <c r="BK31" s="115"/>
      <c r="BL31" s="115"/>
      <c r="BM31" s="91">
        <v>257.84765217391299</v>
      </c>
      <c r="BN31" s="130">
        <v>251.72466602473901</v>
      </c>
      <c r="BO31" s="91">
        <v>626.08695652173901</v>
      </c>
      <c r="BP31" s="59"/>
      <c r="BQ31" s="71"/>
      <c r="BR31" s="130">
        <v>611.21956591088599</v>
      </c>
      <c r="BS31" s="115"/>
      <c r="BT31" s="115"/>
      <c r="BU31" s="115"/>
      <c r="BV31" s="115"/>
      <c r="BW31" s="115"/>
      <c r="BX31" s="115"/>
      <c r="BY31" s="115"/>
      <c r="BZ31" s="115"/>
      <c r="CA31" s="121" t="s">
        <v>284</v>
      </c>
      <c r="CB31" s="121"/>
      <c r="CC31" s="115">
        <v>1211</v>
      </c>
      <c r="CD31" s="72" t="s">
        <v>199</v>
      </c>
      <c r="CE31" s="123" t="s">
        <v>200</v>
      </c>
      <c r="CF31" s="123"/>
      <c r="CG31" s="123">
        <v>110</v>
      </c>
      <c r="CH31" s="123">
        <v>3.51</v>
      </c>
      <c r="CI31" s="123">
        <v>386.1</v>
      </c>
      <c r="CJ31" s="123">
        <v>1.083</v>
      </c>
      <c r="CK31" s="149">
        <v>356.50969529085899</v>
      </c>
      <c r="CL31" s="149">
        <v>775</v>
      </c>
      <c r="CM31" s="125">
        <v>2E-3</v>
      </c>
      <c r="CN31" s="125"/>
      <c r="CO31" s="115"/>
      <c r="CP31" s="115">
        <v>96</v>
      </c>
      <c r="CQ31" s="115">
        <v>4</v>
      </c>
      <c r="CR31" s="126">
        <v>384</v>
      </c>
      <c r="CS31" s="79">
        <v>80.720640000000003</v>
      </c>
      <c r="CT31" s="79">
        <v>22.239360000000001</v>
      </c>
      <c r="CU31" s="79">
        <v>48.597119999999997</v>
      </c>
      <c r="CV31" s="79">
        <v>121.90464</v>
      </c>
      <c r="CW31" s="79">
        <v>0</v>
      </c>
      <c r="CX31" s="79">
        <v>14.82624</v>
      </c>
      <c r="CY31" s="79">
        <v>25.534079999999999</v>
      </c>
      <c r="CZ31" s="79">
        <v>81.544319999999999</v>
      </c>
      <c r="DA31" s="79">
        <v>48.597119999999997</v>
      </c>
      <c r="DB31" s="85">
        <v>0.77211046956521701</v>
      </c>
      <c r="DC31" s="150"/>
      <c r="DD31" s="150"/>
      <c r="DE31" s="150"/>
      <c r="DF31" s="150"/>
      <c r="DG31" s="150"/>
      <c r="DH31" s="150"/>
      <c r="DI31" s="150"/>
      <c r="DJ31" s="150"/>
      <c r="DK31" s="150"/>
      <c r="DL31" s="150"/>
      <c r="DM31" s="150"/>
      <c r="DN31" s="150"/>
      <c r="DO31" s="150"/>
      <c r="DP31" s="150"/>
      <c r="DQ31" s="150"/>
      <c r="DR31" s="150"/>
      <c r="DS31" s="150"/>
      <c r="DT31" s="150"/>
      <c r="DU31" s="150"/>
      <c r="DV31" s="150"/>
      <c r="DW31" s="150"/>
      <c r="DX31" s="150"/>
      <c r="DY31" s="150"/>
      <c r="DZ31" s="150"/>
      <c r="EA31" s="150"/>
      <c r="EB31" s="150"/>
      <c r="EC31" s="150"/>
      <c r="ED31" s="81"/>
      <c r="EE31" s="81"/>
      <c r="EF31" s="81"/>
      <c r="EG31" s="81"/>
      <c r="EH31" s="81"/>
      <c r="EI31" s="81"/>
      <c r="EJ31" s="82"/>
      <c r="EK31" s="82"/>
      <c r="EL31" s="82"/>
      <c r="EM31" s="82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150"/>
      <c r="FO31" s="81"/>
    </row>
    <row r="32" spans="1:171">
      <c r="A32" s="53">
        <v>18</v>
      </c>
      <c r="B32" s="53" t="s">
        <v>285</v>
      </c>
      <c r="C32" s="82" t="s">
        <v>278</v>
      </c>
      <c r="D32" s="133" t="s">
        <v>286</v>
      </c>
      <c r="E32" s="52"/>
      <c r="F32" s="148" t="s">
        <v>195</v>
      </c>
      <c r="G32" s="135">
        <v>2022</v>
      </c>
      <c r="H32" s="115"/>
      <c r="I32" s="127">
        <v>70</v>
      </c>
      <c r="J32" s="127"/>
      <c r="K32" s="120"/>
      <c r="L32" s="115"/>
      <c r="M32" s="115"/>
      <c r="N32" s="115"/>
      <c r="O32" s="115"/>
      <c r="P32" s="115"/>
      <c r="Q32" s="115"/>
      <c r="R32" s="115"/>
      <c r="S32" s="115"/>
      <c r="T32" s="115">
        <v>480</v>
      </c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 t="b">
        <f>TRUE()</f>
        <v>1</v>
      </c>
      <c r="AQ32" s="115" t="s">
        <v>278</v>
      </c>
      <c r="AR32" s="115"/>
      <c r="AS32" s="117"/>
      <c r="AT32" s="117"/>
      <c r="AU32" s="115">
        <v>525</v>
      </c>
      <c r="AV32" s="115"/>
      <c r="AW32" s="115"/>
      <c r="AX32" s="128"/>
      <c r="AY32" s="115">
        <v>2062</v>
      </c>
      <c r="AZ32" s="115">
        <v>1539</v>
      </c>
      <c r="BA32" s="115">
        <v>185.6</v>
      </c>
      <c r="BB32" s="66">
        <v>588.98638080000001</v>
      </c>
      <c r="BC32" s="67"/>
      <c r="BD32" s="68"/>
      <c r="BE32" s="68"/>
      <c r="BF32" s="115"/>
      <c r="BG32" s="115"/>
      <c r="BH32" s="70"/>
      <c r="BI32" s="70"/>
      <c r="BJ32" s="115"/>
      <c r="BK32" s="115"/>
      <c r="BL32" s="115"/>
      <c r="BM32" s="91">
        <v>133.333333333333</v>
      </c>
      <c r="BN32" s="130">
        <v>118.848248927117</v>
      </c>
      <c r="BO32" s="91">
        <v>914.28571428571399</v>
      </c>
      <c r="BP32" s="59"/>
      <c r="BQ32" s="71"/>
      <c r="BR32" s="130">
        <v>814.95942121451503</v>
      </c>
      <c r="BS32" s="115"/>
      <c r="BT32" s="115"/>
      <c r="BU32" s="115"/>
      <c r="BV32" s="115"/>
      <c r="BW32" s="115"/>
      <c r="BX32" s="115"/>
      <c r="BY32" s="115"/>
      <c r="BZ32" s="115"/>
      <c r="CA32" s="121"/>
      <c r="CB32" s="121"/>
      <c r="CC32" s="115"/>
      <c r="CD32" s="72"/>
      <c r="CE32" s="123"/>
      <c r="CF32" s="123"/>
      <c r="CG32" s="123"/>
      <c r="CH32" s="123">
        <v>3.65</v>
      </c>
      <c r="CI32" s="123"/>
      <c r="CJ32" s="123"/>
      <c r="CK32" s="123"/>
      <c r="CL32" s="123"/>
      <c r="CM32" s="125"/>
      <c r="CN32" s="125"/>
      <c r="CO32" s="115"/>
      <c r="CP32" s="115"/>
      <c r="CQ32" s="115"/>
      <c r="CR32" s="126"/>
      <c r="CS32" s="53"/>
      <c r="CT32" s="53"/>
      <c r="CU32" s="53"/>
      <c r="CV32" s="53"/>
      <c r="CW32" s="53"/>
      <c r="CX32" s="53"/>
      <c r="CY32" s="53"/>
      <c r="CZ32" s="53"/>
      <c r="DA32" s="53"/>
      <c r="DB32" s="80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2"/>
      <c r="EK32" s="82"/>
      <c r="EL32" s="82"/>
      <c r="EM32" s="82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</row>
    <row r="33" spans="1:195">
      <c r="A33" s="53">
        <v>19</v>
      </c>
      <c r="B33" s="53" t="s">
        <v>287</v>
      </c>
      <c r="C33" s="82" t="s">
        <v>278</v>
      </c>
      <c r="D33" s="133" t="s">
        <v>286</v>
      </c>
      <c r="E33" s="52"/>
      <c r="F33" s="148" t="s">
        <v>195</v>
      </c>
      <c r="G33" s="135">
        <v>2022</v>
      </c>
      <c r="H33" s="115">
        <v>70.5</v>
      </c>
      <c r="I33" s="127">
        <v>75</v>
      </c>
      <c r="J33" s="127">
        <v>0.94</v>
      </c>
      <c r="K33" s="120"/>
      <c r="L33" s="115"/>
      <c r="M33" s="115"/>
      <c r="N33" s="115"/>
      <c r="O33" s="115"/>
      <c r="P33" s="115"/>
      <c r="Q33" s="115"/>
      <c r="R33" s="115"/>
      <c r="S33" s="115"/>
      <c r="T33" s="115">
        <v>480</v>
      </c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 t="b">
        <f>TRUE()</f>
        <v>1</v>
      </c>
      <c r="AQ33" s="115" t="s">
        <v>278</v>
      </c>
      <c r="AR33" s="115"/>
      <c r="AS33" s="117"/>
      <c r="AT33" s="117"/>
      <c r="AU33" s="115">
        <v>535</v>
      </c>
      <c r="AV33" s="115"/>
      <c r="AW33" s="115"/>
      <c r="AX33" s="128"/>
      <c r="AY33" s="115">
        <v>2062</v>
      </c>
      <c r="AZ33" s="115">
        <v>1539</v>
      </c>
      <c r="BA33" s="115">
        <v>185.6</v>
      </c>
      <c r="BB33" s="66">
        <v>588.98638080000001</v>
      </c>
      <c r="BC33" s="67"/>
      <c r="BD33" s="68"/>
      <c r="BE33" s="68"/>
      <c r="BF33" s="115"/>
      <c r="BG33" s="115"/>
      <c r="BH33" s="70"/>
      <c r="BI33" s="70"/>
      <c r="BJ33" s="115"/>
      <c r="BK33" s="115"/>
      <c r="BL33" s="115"/>
      <c r="BM33" s="91">
        <v>140.186915887851</v>
      </c>
      <c r="BN33" s="130">
        <v>127.337409564768</v>
      </c>
      <c r="BO33" s="91">
        <v>897.19626168224295</v>
      </c>
      <c r="BP33" s="59"/>
      <c r="BQ33" s="71"/>
      <c r="BR33" s="130">
        <v>814.95942121451503</v>
      </c>
      <c r="BS33" s="115"/>
      <c r="BT33" s="115"/>
      <c r="BU33" s="115"/>
      <c r="BV33" s="115"/>
      <c r="BW33" s="115"/>
      <c r="BX33" s="115"/>
      <c r="BY33" s="115"/>
      <c r="BZ33" s="115"/>
      <c r="CA33" s="121"/>
      <c r="CB33" s="121"/>
      <c r="CC33" s="115"/>
      <c r="CD33" s="72"/>
      <c r="CE33" s="123"/>
      <c r="CF33" s="123"/>
      <c r="CG33" s="123"/>
      <c r="CH33" s="123"/>
      <c r="CI33" s="123"/>
      <c r="CJ33" s="123"/>
      <c r="CK33" s="123"/>
      <c r="CL33" s="123"/>
      <c r="CM33" s="125"/>
      <c r="CN33" s="125"/>
      <c r="CO33" s="115"/>
      <c r="CP33" s="115"/>
      <c r="CQ33" s="115"/>
      <c r="CR33" s="126"/>
      <c r="CS33" s="53"/>
      <c r="CT33" s="53"/>
      <c r="CU33" s="53"/>
      <c r="CV33" s="53"/>
      <c r="CW33" s="53"/>
      <c r="CX33" s="53"/>
      <c r="CY33" s="53"/>
      <c r="CZ33" s="53"/>
      <c r="DA33" s="53"/>
      <c r="DB33" s="80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2"/>
      <c r="EK33" s="82"/>
      <c r="EL33" s="82"/>
      <c r="EM33" s="82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</row>
    <row r="34" spans="1:195">
      <c r="A34" s="53">
        <v>19</v>
      </c>
      <c r="B34" s="53" t="s">
        <v>288</v>
      </c>
      <c r="C34" s="82" t="s">
        <v>278</v>
      </c>
      <c r="D34" s="133" t="s">
        <v>286</v>
      </c>
      <c r="E34" s="52"/>
      <c r="F34" s="148" t="s">
        <v>195</v>
      </c>
      <c r="G34" s="135">
        <v>2022</v>
      </c>
      <c r="H34" s="115">
        <v>95</v>
      </c>
      <c r="I34" s="127">
        <v>100</v>
      </c>
      <c r="J34" s="127">
        <v>0.95</v>
      </c>
      <c r="K34" s="120"/>
      <c r="L34" s="115"/>
      <c r="M34" s="115"/>
      <c r="N34" s="115"/>
      <c r="O34" s="115"/>
      <c r="P34" s="115"/>
      <c r="Q34" s="115"/>
      <c r="R34" s="115"/>
      <c r="S34" s="115"/>
      <c r="T34" s="115">
        <v>480</v>
      </c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 t="b">
        <f>TRUE()</f>
        <v>1</v>
      </c>
      <c r="AQ34" s="115" t="s">
        <v>278</v>
      </c>
      <c r="AR34" s="115"/>
      <c r="AS34" s="117"/>
      <c r="AT34" s="117"/>
      <c r="AU34" s="115">
        <v>555</v>
      </c>
      <c r="AV34" s="115"/>
      <c r="AW34" s="115"/>
      <c r="AX34" s="128"/>
      <c r="AY34" s="115">
        <v>2062</v>
      </c>
      <c r="AZ34" s="115">
        <v>1539</v>
      </c>
      <c r="BA34" s="115">
        <v>185.6</v>
      </c>
      <c r="BB34" s="66">
        <v>588.98638080000001</v>
      </c>
      <c r="BC34" s="67"/>
      <c r="BD34" s="68"/>
      <c r="BE34" s="68"/>
      <c r="BF34" s="115"/>
      <c r="BG34" s="115"/>
      <c r="BH34" s="70"/>
      <c r="BI34" s="70"/>
      <c r="BJ34" s="115"/>
      <c r="BK34" s="115"/>
      <c r="BL34" s="115"/>
      <c r="BM34" s="91">
        <v>180.18018018018</v>
      </c>
      <c r="BN34" s="130">
        <v>169.783212753024</v>
      </c>
      <c r="BO34" s="91">
        <v>864.86486486486501</v>
      </c>
      <c r="BP34" s="59"/>
      <c r="BQ34" s="71"/>
      <c r="BR34" s="130">
        <v>814.95942121451503</v>
      </c>
      <c r="BS34" s="115"/>
      <c r="BT34" s="115"/>
      <c r="BU34" s="115"/>
      <c r="BV34" s="115"/>
      <c r="BW34" s="115"/>
      <c r="BX34" s="115"/>
      <c r="BY34" s="115"/>
      <c r="BZ34" s="115"/>
      <c r="CA34" s="121"/>
      <c r="CB34" s="121"/>
      <c r="CC34" s="115"/>
      <c r="CD34" s="72"/>
      <c r="CE34" s="123"/>
      <c r="CF34" s="123"/>
      <c r="CG34" s="123"/>
      <c r="CH34" s="123"/>
      <c r="CI34" s="123"/>
      <c r="CJ34" s="123"/>
      <c r="CK34" s="123"/>
      <c r="CL34" s="123"/>
      <c r="CM34" s="125"/>
      <c r="CN34" s="125"/>
      <c r="CO34" s="115"/>
      <c r="CP34" s="115"/>
      <c r="CQ34" s="115"/>
      <c r="CR34" s="126"/>
      <c r="CS34" s="53"/>
      <c r="CT34" s="53"/>
      <c r="CU34" s="53"/>
      <c r="CV34" s="53"/>
      <c r="CW34" s="53"/>
      <c r="CX34" s="53"/>
      <c r="CY34" s="53"/>
      <c r="CZ34" s="53"/>
      <c r="DA34" s="53"/>
      <c r="DB34" s="80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2"/>
      <c r="EK34" s="82"/>
      <c r="EL34" s="82"/>
      <c r="EM34" s="82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</row>
    <row r="35" spans="1:195">
      <c r="A35" s="53">
        <v>39</v>
      </c>
      <c r="B35" s="53" t="s">
        <v>289</v>
      </c>
      <c r="C35" s="82" t="s">
        <v>278</v>
      </c>
      <c r="D35" s="133" t="s">
        <v>290</v>
      </c>
      <c r="E35" s="52"/>
      <c r="F35" s="148" t="s">
        <v>195</v>
      </c>
      <c r="G35" s="135"/>
      <c r="H35" s="115"/>
      <c r="I35" s="83">
        <v>70</v>
      </c>
      <c r="J35" s="127"/>
      <c r="K35" s="102">
        <v>350</v>
      </c>
      <c r="L35" s="115"/>
      <c r="M35" s="115"/>
      <c r="N35" s="65">
        <v>200</v>
      </c>
      <c r="O35" s="115"/>
      <c r="P35" s="115"/>
      <c r="Q35" s="115"/>
      <c r="R35" s="115"/>
      <c r="S35" s="115"/>
      <c r="T35" s="61">
        <v>400</v>
      </c>
      <c r="U35" s="115"/>
      <c r="V35" s="115"/>
      <c r="W35" s="115"/>
      <c r="X35" s="61">
        <v>111.111111111111</v>
      </c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51" t="b">
        <f>TRUE()</f>
        <v>1</v>
      </c>
      <c r="AQ35" s="65" t="s">
        <v>278</v>
      </c>
      <c r="AR35" s="115"/>
      <c r="AS35" s="117"/>
      <c r="AT35" s="117"/>
      <c r="AU35" s="102">
        <v>525</v>
      </c>
      <c r="AV35" s="115"/>
      <c r="AW35" s="115"/>
      <c r="AX35" s="128"/>
      <c r="AY35" s="65">
        <v>2062</v>
      </c>
      <c r="AZ35" s="65">
        <v>1539</v>
      </c>
      <c r="BA35" s="65">
        <v>136</v>
      </c>
      <c r="BB35" s="66">
        <v>431.58484800000002</v>
      </c>
      <c r="BC35" s="67"/>
      <c r="BD35" s="68"/>
      <c r="BE35" s="68"/>
      <c r="BF35" s="115"/>
      <c r="BG35" s="115"/>
      <c r="BH35" s="70"/>
      <c r="BI35" s="70"/>
      <c r="BJ35" s="115"/>
      <c r="BK35" s="115"/>
      <c r="BL35" s="65" t="s">
        <v>239</v>
      </c>
      <c r="BM35" s="66">
        <v>133.333333333333</v>
      </c>
      <c r="BN35" s="66">
        <v>162.19290441818299</v>
      </c>
      <c r="BO35" s="91">
        <v>761.90476190476204</v>
      </c>
      <c r="BP35" s="66">
        <v>211.64021164021199</v>
      </c>
      <c r="BQ35" s="71"/>
      <c r="BR35" s="66">
        <v>926.81659667533097</v>
      </c>
      <c r="BS35" s="66">
        <v>257.449054632036</v>
      </c>
      <c r="BT35" s="115"/>
      <c r="BU35" s="115"/>
      <c r="BV35" s="115"/>
      <c r="BW35" s="115"/>
      <c r="BX35" s="115"/>
      <c r="BY35" s="115"/>
      <c r="BZ35" s="115"/>
      <c r="CA35" s="121"/>
      <c r="CB35" s="121"/>
      <c r="CC35" s="115"/>
      <c r="CD35" s="72" t="s">
        <v>199</v>
      </c>
      <c r="CE35" s="123"/>
      <c r="CF35" s="123"/>
      <c r="CG35" s="74">
        <v>100</v>
      </c>
      <c r="CH35" s="74">
        <v>3.65</v>
      </c>
      <c r="CI35" s="105">
        <v>365</v>
      </c>
      <c r="CJ35" s="123"/>
      <c r="CK35" s="123"/>
      <c r="CL35" s="123"/>
      <c r="CM35" s="125"/>
      <c r="CN35" s="125"/>
      <c r="CO35" s="115"/>
      <c r="CP35" s="152">
        <v>96</v>
      </c>
      <c r="CQ35" s="152">
        <v>2</v>
      </c>
      <c r="CR35" s="78">
        <v>192</v>
      </c>
      <c r="CS35" s="79">
        <v>38.1111111111111</v>
      </c>
      <c r="CT35" s="79">
        <v>10.5</v>
      </c>
      <c r="CU35" s="79">
        <v>22.9444444444444</v>
      </c>
      <c r="CV35" s="79">
        <v>57.5555555555556</v>
      </c>
      <c r="CW35" s="79">
        <v>0</v>
      </c>
      <c r="CX35" s="79">
        <v>7</v>
      </c>
      <c r="CY35" s="79">
        <v>12.0555555555556</v>
      </c>
      <c r="CZ35" s="79">
        <v>38.5</v>
      </c>
      <c r="DA35" s="79">
        <v>22.9444444444444</v>
      </c>
      <c r="DB35" s="85">
        <v>0.39925925925925898</v>
      </c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2"/>
      <c r="EK35" s="82"/>
      <c r="EL35" s="82"/>
      <c r="EM35" s="82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</row>
    <row r="36" spans="1:195">
      <c r="A36" s="53">
        <v>29</v>
      </c>
      <c r="B36" s="53" t="s">
        <v>291</v>
      </c>
      <c r="C36" s="82" t="s">
        <v>278</v>
      </c>
      <c r="D36" s="133" t="s">
        <v>290</v>
      </c>
      <c r="E36" s="134"/>
      <c r="F36" s="148" t="s">
        <v>195</v>
      </c>
      <c r="G36" s="135">
        <v>2022</v>
      </c>
      <c r="H36" s="115">
        <v>70.5</v>
      </c>
      <c r="I36" s="83">
        <v>75</v>
      </c>
      <c r="J36" s="127">
        <v>0.94</v>
      </c>
      <c r="K36" s="102">
        <v>386</v>
      </c>
      <c r="L36" s="115"/>
      <c r="M36" s="115"/>
      <c r="N36" s="65">
        <v>195</v>
      </c>
      <c r="O36" s="115"/>
      <c r="P36" s="115"/>
      <c r="Q36" s="115"/>
      <c r="R36" s="115"/>
      <c r="S36" s="115"/>
      <c r="T36" s="61">
        <v>400</v>
      </c>
      <c r="U36" s="115"/>
      <c r="V36" s="115"/>
      <c r="W36" s="115"/>
      <c r="X36" s="61">
        <v>111.111111111111</v>
      </c>
      <c r="Y36" s="115"/>
      <c r="Z36" s="115"/>
      <c r="AA36" s="115">
        <v>140</v>
      </c>
      <c r="AB36" s="115"/>
      <c r="AC36" s="115"/>
      <c r="AD36" s="115"/>
      <c r="AE36" s="115">
        <v>31</v>
      </c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51" t="b">
        <f>TRUE()</f>
        <v>1</v>
      </c>
      <c r="AQ36" s="65" t="s">
        <v>278</v>
      </c>
      <c r="AR36" s="115"/>
      <c r="AS36" s="117"/>
      <c r="AT36" s="117"/>
      <c r="AU36" s="65">
        <v>535</v>
      </c>
      <c r="AV36" s="115"/>
      <c r="AW36" s="115"/>
      <c r="AX36" s="128"/>
      <c r="AY36" s="65">
        <v>2062</v>
      </c>
      <c r="AZ36" s="65">
        <v>1539</v>
      </c>
      <c r="BA36" s="65">
        <v>185.6</v>
      </c>
      <c r="BB36" s="66">
        <v>588.98638080000001</v>
      </c>
      <c r="BC36" s="67"/>
      <c r="BD36" s="68"/>
      <c r="BE36" s="68"/>
      <c r="BF36" s="115"/>
      <c r="BG36" s="115"/>
      <c r="BH36" s="70"/>
      <c r="BI36" s="70"/>
      <c r="BJ36" s="115"/>
      <c r="BK36" s="115"/>
      <c r="BL36" s="65" t="s">
        <v>239</v>
      </c>
      <c r="BM36" s="66">
        <v>140.186915887851</v>
      </c>
      <c r="BN36" s="66">
        <v>127.337409564768</v>
      </c>
      <c r="BO36" s="91">
        <v>747.66355140186897</v>
      </c>
      <c r="BP36" s="66">
        <v>207.68431983385301</v>
      </c>
      <c r="BQ36" s="66">
        <v>261.682242990654</v>
      </c>
      <c r="BR36" s="66">
        <v>679.13285101209601</v>
      </c>
      <c r="BS36" s="66">
        <v>188.64801417002701</v>
      </c>
      <c r="BT36" s="115"/>
      <c r="BU36" s="115"/>
      <c r="BV36" s="115"/>
      <c r="BW36" s="115"/>
      <c r="BX36" s="115"/>
      <c r="BY36" s="115"/>
      <c r="BZ36" s="115"/>
      <c r="CA36" s="121"/>
      <c r="CB36" s="121"/>
      <c r="CC36" s="115"/>
      <c r="CD36" s="72"/>
      <c r="CE36" s="123"/>
      <c r="CF36" s="123"/>
      <c r="CG36" s="123"/>
      <c r="CH36" s="123"/>
      <c r="CI36" s="123"/>
      <c r="CJ36" s="123"/>
      <c r="CK36" s="123"/>
      <c r="CL36" s="123"/>
      <c r="CM36" s="125"/>
      <c r="CN36" s="125"/>
      <c r="CO36" s="115"/>
      <c r="CP36" s="115"/>
      <c r="CQ36" s="115"/>
      <c r="CR36" s="78">
        <v>118</v>
      </c>
      <c r="CS36" s="53"/>
      <c r="CT36" s="53"/>
      <c r="CU36" s="53"/>
      <c r="CV36" s="53"/>
      <c r="CW36" s="53"/>
      <c r="CX36" s="53"/>
      <c r="CY36" s="53"/>
      <c r="CZ36" s="53"/>
      <c r="DA36" s="53"/>
      <c r="DB36" s="80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2"/>
      <c r="EK36" s="82"/>
      <c r="EL36" s="82"/>
      <c r="EM36" s="82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</row>
    <row r="37" spans="1:195">
      <c r="A37" s="53">
        <v>49</v>
      </c>
      <c r="B37" s="53" t="s">
        <v>292</v>
      </c>
      <c r="C37" s="82" t="s">
        <v>278</v>
      </c>
      <c r="D37" s="133" t="s">
        <v>290</v>
      </c>
      <c r="E37" s="134"/>
      <c r="F37" s="148" t="s">
        <v>195</v>
      </c>
      <c r="G37" s="135">
        <v>2025</v>
      </c>
      <c r="H37" s="115">
        <v>70</v>
      </c>
      <c r="I37" s="83">
        <v>75</v>
      </c>
      <c r="J37" s="127">
        <v>0.93333333333333302</v>
      </c>
      <c r="K37" s="102">
        <v>367</v>
      </c>
      <c r="L37" s="115"/>
      <c r="M37" s="115"/>
      <c r="N37" s="65">
        <v>204.5</v>
      </c>
      <c r="O37" s="115"/>
      <c r="P37" s="115"/>
      <c r="Q37" s="115"/>
      <c r="R37" s="115"/>
      <c r="S37" s="115"/>
      <c r="T37" s="61">
        <v>400</v>
      </c>
      <c r="U37" s="115"/>
      <c r="V37" s="115"/>
      <c r="W37" s="115"/>
      <c r="X37" s="61">
        <v>111.111111111111</v>
      </c>
      <c r="Y37" s="115"/>
      <c r="Z37" s="115"/>
      <c r="AA37" s="115">
        <v>130</v>
      </c>
      <c r="AB37" s="115"/>
      <c r="AC37" s="115"/>
      <c r="AD37" s="115">
        <v>31</v>
      </c>
      <c r="AE37" s="115">
        <v>30</v>
      </c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51" t="b">
        <f>TRUE()</f>
        <v>1</v>
      </c>
      <c r="AQ37" s="65" t="s">
        <v>278</v>
      </c>
      <c r="AR37" s="115"/>
      <c r="AS37" s="117"/>
      <c r="AT37" s="117"/>
      <c r="AU37" s="102">
        <v>535</v>
      </c>
      <c r="AV37" s="115"/>
      <c r="AW37" s="115"/>
      <c r="AX37" s="128"/>
      <c r="AY37" s="65">
        <v>2062</v>
      </c>
      <c r="AZ37" s="65">
        <v>1539</v>
      </c>
      <c r="BA37" s="65">
        <v>185.6</v>
      </c>
      <c r="BB37" s="66">
        <v>588.98638080000001</v>
      </c>
      <c r="BC37" s="67"/>
      <c r="BD37" s="68"/>
      <c r="BE37" s="68"/>
      <c r="BF37" s="115"/>
      <c r="BG37" s="115"/>
      <c r="BH37" s="70"/>
      <c r="BI37" s="70"/>
      <c r="BJ37" s="115"/>
      <c r="BK37" s="115"/>
      <c r="BL37" s="65" t="s">
        <v>239</v>
      </c>
      <c r="BM37" s="66">
        <v>140.186915887851</v>
      </c>
      <c r="BN37" s="66">
        <v>127.337409564768</v>
      </c>
      <c r="BO37" s="91">
        <v>747.66355140186897</v>
      </c>
      <c r="BP37" s="66">
        <v>207.68431983385301</v>
      </c>
      <c r="BQ37" s="66">
        <v>242.990654205608</v>
      </c>
      <c r="BR37" s="66">
        <v>679.13285101209601</v>
      </c>
      <c r="BS37" s="66">
        <v>188.64801417002701</v>
      </c>
      <c r="BT37" s="115"/>
      <c r="BU37" s="115"/>
      <c r="BV37" s="115"/>
      <c r="BW37" s="115"/>
      <c r="BX37" s="115"/>
      <c r="BY37" s="115"/>
      <c r="BZ37" s="115"/>
      <c r="CA37" s="121" t="s">
        <v>259</v>
      </c>
      <c r="CB37" s="121"/>
      <c r="CC37" s="115"/>
      <c r="CD37" s="72" t="s">
        <v>248</v>
      </c>
      <c r="CE37" s="123"/>
      <c r="CF37" s="123"/>
      <c r="CG37" s="74">
        <v>201.5</v>
      </c>
      <c r="CH37" s="74">
        <v>3.22</v>
      </c>
      <c r="CI37" s="105">
        <v>648.83000000000004</v>
      </c>
      <c r="CJ37" s="123"/>
      <c r="CK37" s="123"/>
      <c r="CL37" s="123"/>
      <c r="CM37" s="125"/>
      <c r="CN37" s="125"/>
      <c r="CO37" s="115"/>
      <c r="CP37" s="152">
        <v>114</v>
      </c>
      <c r="CQ37" s="152">
        <v>1</v>
      </c>
      <c r="CR37" s="78">
        <v>114</v>
      </c>
      <c r="CS37" s="79">
        <v>55</v>
      </c>
      <c r="CT37" s="79">
        <v>0</v>
      </c>
      <c r="CU37" s="79">
        <v>32.5</v>
      </c>
      <c r="CV37" s="79">
        <v>82.5</v>
      </c>
      <c r="CW37" s="79">
        <v>51.25</v>
      </c>
      <c r="CX37" s="79">
        <v>7.5</v>
      </c>
      <c r="CY37" s="79">
        <v>0</v>
      </c>
      <c r="CZ37" s="79">
        <v>0</v>
      </c>
      <c r="DA37" s="79">
        <v>32.5</v>
      </c>
      <c r="DB37" s="85">
        <v>0.48831775700934599</v>
      </c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2"/>
      <c r="EK37" s="82"/>
      <c r="EL37" s="82"/>
      <c r="EM37" s="82"/>
      <c r="EN37" s="81"/>
      <c r="EO37" s="81"/>
      <c r="EP37" s="81"/>
      <c r="EQ37" s="81"/>
      <c r="ER37" s="81"/>
      <c r="ES37" s="81"/>
      <c r="ET37" s="81"/>
      <c r="EU37" s="153" t="b">
        <f>TRUE()</f>
        <v>1</v>
      </c>
      <c r="EV37" s="153" t="b">
        <f>TRUE()</f>
        <v>1</v>
      </c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</row>
    <row r="38" spans="1:195">
      <c r="A38" s="53">
        <v>40</v>
      </c>
      <c r="B38" s="53" t="s">
        <v>293</v>
      </c>
      <c r="C38" s="82" t="s">
        <v>278</v>
      </c>
      <c r="D38" s="133" t="s">
        <v>290</v>
      </c>
      <c r="E38" s="134"/>
      <c r="F38" s="148" t="s">
        <v>195</v>
      </c>
      <c r="G38" s="135"/>
      <c r="H38" s="115"/>
      <c r="I38" s="83">
        <v>100</v>
      </c>
      <c r="J38" s="127"/>
      <c r="K38" s="102">
        <v>358</v>
      </c>
      <c r="L38" s="115"/>
      <c r="M38" s="115"/>
      <c r="N38" s="65">
        <v>280</v>
      </c>
      <c r="O38" s="115"/>
      <c r="P38" s="115"/>
      <c r="Q38" s="115"/>
      <c r="R38" s="115"/>
      <c r="S38" s="115"/>
      <c r="T38" s="61">
        <v>400</v>
      </c>
      <c r="U38" s="115"/>
      <c r="V38" s="115"/>
      <c r="W38" s="115"/>
      <c r="X38" s="61">
        <v>111.111111111111</v>
      </c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51" t="b">
        <f>TRUE()</f>
        <v>1</v>
      </c>
      <c r="AQ38" s="65" t="s">
        <v>278</v>
      </c>
      <c r="AR38" s="115"/>
      <c r="AS38" s="117"/>
      <c r="AT38" s="117"/>
      <c r="AU38" s="102">
        <v>555</v>
      </c>
      <c r="AV38" s="115"/>
      <c r="AW38" s="115"/>
      <c r="AX38" s="128"/>
      <c r="AY38" s="65">
        <v>2062</v>
      </c>
      <c r="AZ38" s="65">
        <v>1539</v>
      </c>
      <c r="BA38" s="65">
        <v>185.6</v>
      </c>
      <c r="BB38" s="66">
        <v>588.98638080000001</v>
      </c>
      <c r="BC38" s="67"/>
      <c r="BD38" s="68"/>
      <c r="BE38" s="68"/>
      <c r="BF38" s="115"/>
      <c r="BG38" s="115"/>
      <c r="BH38" s="70"/>
      <c r="BI38" s="70"/>
      <c r="BJ38" s="115"/>
      <c r="BK38" s="115"/>
      <c r="BL38" s="65" t="s">
        <v>239</v>
      </c>
      <c r="BM38" s="66">
        <v>180.18018018018</v>
      </c>
      <c r="BN38" s="66">
        <v>169.783212753024</v>
      </c>
      <c r="BO38" s="91">
        <v>720.72072072072103</v>
      </c>
      <c r="BP38" s="66">
        <v>200.20020020019999</v>
      </c>
      <c r="BQ38" s="71"/>
      <c r="BR38" s="66">
        <v>679.13285101209601</v>
      </c>
      <c r="BS38" s="66">
        <v>188.64801417002701</v>
      </c>
      <c r="BT38" s="115"/>
      <c r="BU38" s="115"/>
      <c r="BV38" s="115"/>
      <c r="BW38" s="115"/>
      <c r="BX38" s="115"/>
      <c r="BY38" s="115"/>
      <c r="BZ38" s="115"/>
      <c r="CA38" s="121" t="s">
        <v>259</v>
      </c>
      <c r="CB38" s="121"/>
      <c r="CC38" s="115"/>
      <c r="CD38" s="72" t="s">
        <v>199</v>
      </c>
      <c r="CE38" s="123"/>
      <c r="CF38" s="123"/>
      <c r="CG38" s="74">
        <v>276</v>
      </c>
      <c r="CH38" s="74">
        <v>3.73</v>
      </c>
      <c r="CI38" s="105">
        <v>1029.48</v>
      </c>
      <c r="CJ38" s="123"/>
      <c r="CK38" s="123"/>
      <c r="CL38" s="123"/>
      <c r="CM38" s="125"/>
      <c r="CN38" s="125"/>
      <c r="CO38" s="115"/>
      <c r="CP38" s="152">
        <v>96</v>
      </c>
      <c r="CQ38" s="152">
        <v>1</v>
      </c>
      <c r="CR38" s="78">
        <v>96</v>
      </c>
      <c r="CS38" s="79">
        <v>54.4444444444444</v>
      </c>
      <c r="CT38" s="79">
        <v>15</v>
      </c>
      <c r="CU38" s="79">
        <v>32.7777777777778</v>
      </c>
      <c r="CV38" s="79">
        <v>82.2222222222222</v>
      </c>
      <c r="CW38" s="79">
        <v>0</v>
      </c>
      <c r="CX38" s="79">
        <v>10</v>
      </c>
      <c r="CY38" s="79">
        <v>17.2222222222222</v>
      </c>
      <c r="CZ38" s="79">
        <v>55</v>
      </c>
      <c r="DA38" s="79">
        <v>32.7777777777778</v>
      </c>
      <c r="DB38" s="85">
        <v>0.53953953953954004</v>
      </c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2"/>
      <c r="EK38" s="82"/>
      <c r="EL38" s="82"/>
      <c r="EM38" s="82"/>
      <c r="EN38" s="81"/>
      <c r="EO38" s="81"/>
      <c r="EP38" s="81"/>
      <c r="EQ38" s="81"/>
      <c r="ER38" s="81"/>
      <c r="ES38" s="81"/>
      <c r="ET38" s="81"/>
      <c r="EU38" s="76"/>
      <c r="EV38" s="76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</row>
    <row r="39" spans="1:195">
      <c r="A39" s="53">
        <v>40</v>
      </c>
      <c r="B39" s="53" t="s">
        <v>294</v>
      </c>
      <c r="C39" s="82" t="s">
        <v>278</v>
      </c>
      <c r="D39" s="133" t="s">
        <v>290</v>
      </c>
      <c r="E39" s="134"/>
      <c r="F39" s="148" t="s">
        <v>195</v>
      </c>
      <c r="G39" s="135"/>
      <c r="H39" s="115"/>
      <c r="I39" s="83">
        <v>100</v>
      </c>
      <c r="J39" s="127"/>
      <c r="K39" s="102">
        <v>358</v>
      </c>
      <c r="L39" s="115"/>
      <c r="M39" s="115"/>
      <c r="N39" s="65">
        <v>280</v>
      </c>
      <c r="O39" s="115"/>
      <c r="P39" s="115"/>
      <c r="Q39" s="115"/>
      <c r="R39" s="115"/>
      <c r="S39" s="115"/>
      <c r="T39" s="61">
        <v>400</v>
      </c>
      <c r="U39" s="115"/>
      <c r="V39" s="115"/>
      <c r="W39" s="115"/>
      <c r="X39" s="61">
        <v>111.111111111111</v>
      </c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51" t="b">
        <f>TRUE()</f>
        <v>1</v>
      </c>
      <c r="AQ39" s="65" t="s">
        <v>278</v>
      </c>
      <c r="AR39" s="115"/>
      <c r="AS39" s="117"/>
      <c r="AT39" s="117"/>
      <c r="AU39" s="102">
        <v>555</v>
      </c>
      <c r="AV39" s="115"/>
      <c r="AW39" s="115"/>
      <c r="AX39" s="128"/>
      <c r="AY39" s="65">
        <v>2062</v>
      </c>
      <c r="AZ39" s="65">
        <v>1539</v>
      </c>
      <c r="BA39" s="65">
        <v>185.6</v>
      </c>
      <c r="BB39" s="66">
        <v>588.98638080000001</v>
      </c>
      <c r="BC39" s="67"/>
      <c r="BD39" s="68"/>
      <c r="BE39" s="68"/>
      <c r="BF39" s="115"/>
      <c r="BG39" s="115"/>
      <c r="BH39" s="70"/>
      <c r="BI39" s="70"/>
      <c r="BJ39" s="115"/>
      <c r="BK39" s="115"/>
      <c r="BL39" s="65" t="s">
        <v>239</v>
      </c>
      <c r="BM39" s="66">
        <v>180.18018018018</v>
      </c>
      <c r="BN39" s="66">
        <v>169.783212753024</v>
      </c>
      <c r="BO39" s="91">
        <v>720.72072072072103</v>
      </c>
      <c r="BP39" s="66">
        <v>200.20020020019999</v>
      </c>
      <c r="BQ39" s="71"/>
      <c r="BR39" s="66">
        <v>679.13285101209601</v>
      </c>
      <c r="BS39" s="66">
        <v>188.64801417002701</v>
      </c>
      <c r="BT39" s="115"/>
      <c r="BU39" s="115"/>
      <c r="BV39" s="115"/>
      <c r="BW39" s="115"/>
      <c r="BX39" s="115"/>
      <c r="BY39" s="115"/>
      <c r="BZ39" s="115"/>
      <c r="CA39" s="121" t="s">
        <v>295</v>
      </c>
      <c r="CB39" s="121"/>
      <c r="CC39" s="115"/>
      <c r="CD39" s="72" t="s">
        <v>199</v>
      </c>
      <c r="CE39" s="123"/>
      <c r="CF39" s="123"/>
      <c r="CG39" s="74">
        <v>137</v>
      </c>
      <c r="CH39" s="74">
        <v>3.74</v>
      </c>
      <c r="CI39" s="105">
        <v>512.38</v>
      </c>
      <c r="CJ39" s="123"/>
      <c r="CK39" s="123"/>
      <c r="CL39" s="123"/>
      <c r="CM39" s="125"/>
      <c r="CN39" s="125"/>
      <c r="CO39" s="115"/>
      <c r="CP39" s="152">
        <v>96</v>
      </c>
      <c r="CQ39" s="152">
        <v>2</v>
      </c>
      <c r="CR39" s="78">
        <v>192</v>
      </c>
      <c r="CS39" s="79">
        <v>54.4444444444444</v>
      </c>
      <c r="CT39" s="79">
        <v>15</v>
      </c>
      <c r="CU39" s="79">
        <v>32.7777777777778</v>
      </c>
      <c r="CV39" s="79">
        <v>82.2222222222222</v>
      </c>
      <c r="CW39" s="79">
        <v>0</v>
      </c>
      <c r="CX39" s="79">
        <v>10</v>
      </c>
      <c r="CY39" s="79">
        <v>17.2222222222222</v>
      </c>
      <c r="CZ39" s="79">
        <v>55</v>
      </c>
      <c r="DA39" s="79">
        <v>32.7777777777778</v>
      </c>
      <c r="DB39" s="85">
        <v>0.53953953953954004</v>
      </c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2"/>
      <c r="EK39" s="82"/>
      <c r="EL39" s="82"/>
      <c r="EM39" s="82"/>
      <c r="EN39" s="81"/>
      <c r="EO39" s="81"/>
      <c r="EP39" s="81"/>
      <c r="EQ39" s="81"/>
      <c r="ER39" s="81"/>
      <c r="ES39" s="81"/>
      <c r="ET39" s="81"/>
      <c r="EU39" s="76"/>
      <c r="EV39" s="76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</row>
    <row r="40" spans="1:195">
      <c r="A40" s="53">
        <v>33</v>
      </c>
      <c r="B40" s="53" t="s">
        <v>296</v>
      </c>
      <c r="C40" s="82" t="s">
        <v>278</v>
      </c>
      <c r="D40" s="133" t="s">
        <v>290</v>
      </c>
      <c r="E40" s="134"/>
      <c r="F40" s="148" t="s">
        <v>195</v>
      </c>
      <c r="G40" s="135"/>
      <c r="H40" s="115"/>
      <c r="I40" s="83">
        <v>150</v>
      </c>
      <c r="J40" s="127"/>
      <c r="K40" s="102">
        <v>337</v>
      </c>
      <c r="L40" s="115"/>
      <c r="M40" s="115"/>
      <c r="N40" s="65">
        <v>446</v>
      </c>
      <c r="O40" s="115"/>
      <c r="P40" s="115"/>
      <c r="Q40" s="115"/>
      <c r="R40" s="115"/>
      <c r="S40" s="115"/>
      <c r="T40" s="61">
        <v>400</v>
      </c>
      <c r="U40" s="115"/>
      <c r="V40" s="115"/>
      <c r="W40" s="115"/>
      <c r="X40" s="61">
        <v>111.111111111111</v>
      </c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51" t="b">
        <f>TRUE()</f>
        <v>1</v>
      </c>
      <c r="AQ40" s="65" t="s">
        <v>278</v>
      </c>
      <c r="AR40" s="115"/>
      <c r="AS40" s="117"/>
      <c r="AT40" s="117"/>
      <c r="AU40" s="102">
        <v>575</v>
      </c>
      <c r="AV40" s="66">
        <v>388.37333333333299</v>
      </c>
      <c r="AW40" s="91">
        <v>186.62666666666701</v>
      </c>
      <c r="AX40" s="108">
        <v>0.67543188405797105</v>
      </c>
      <c r="AY40" s="65">
        <v>2062</v>
      </c>
      <c r="AZ40" s="65">
        <v>1539</v>
      </c>
      <c r="BA40" s="65">
        <v>185.6</v>
      </c>
      <c r="BB40" s="66">
        <v>588.98638080000001</v>
      </c>
      <c r="BC40" s="67"/>
      <c r="BD40" s="68"/>
      <c r="BE40" s="68"/>
      <c r="BF40" s="115"/>
      <c r="BG40" s="115"/>
      <c r="BH40" s="70"/>
      <c r="BI40" s="70"/>
      <c r="BJ40" s="115"/>
      <c r="BK40" s="115"/>
      <c r="BL40" s="65" t="s">
        <v>239</v>
      </c>
      <c r="BM40" s="66">
        <v>260.86956521739103</v>
      </c>
      <c r="BN40" s="66">
        <v>254.67481912953599</v>
      </c>
      <c r="BO40" s="91">
        <v>695.65217391304395</v>
      </c>
      <c r="BP40" s="66">
        <v>193.23671497584499</v>
      </c>
      <c r="BQ40" s="71"/>
      <c r="BR40" s="66">
        <v>679.13285101209601</v>
      </c>
      <c r="BS40" s="66">
        <v>188.64801417002701</v>
      </c>
      <c r="BT40" s="115"/>
      <c r="BU40" s="115"/>
      <c r="BV40" s="115"/>
      <c r="BW40" s="115"/>
      <c r="BX40" s="115"/>
      <c r="BY40" s="115"/>
      <c r="BZ40" s="115"/>
      <c r="CA40" s="121"/>
      <c r="CB40" s="121"/>
      <c r="CC40" s="115"/>
      <c r="CD40" s="72"/>
      <c r="CE40" s="123"/>
      <c r="CF40" s="123"/>
      <c r="CG40" s="74">
        <v>110</v>
      </c>
      <c r="CH40" s="74">
        <v>3.31</v>
      </c>
      <c r="CI40" s="105">
        <v>364.1</v>
      </c>
      <c r="CJ40" s="154">
        <v>1.01138888888889</v>
      </c>
      <c r="CK40" s="105">
        <v>360</v>
      </c>
      <c r="CL40" s="123"/>
      <c r="CM40" s="125"/>
      <c r="CN40" s="125"/>
      <c r="CO40" s="115"/>
      <c r="CP40" s="152">
        <v>96</v>
      </c>
      <c r="CQ40" s="152">
        <v>4</v>
      </c>
      <c r="CR40" s="78">
        <v>384</v>
      </c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2"/>
      <c r="EK40" s="82"/>
      <c r="EL40" s="82"/>
      <c r="EM40" s="82"/>
      <c r="EN40" s="81"/>
      <c r="EO40" s="81"/>
      <c r="EP40" s="81"/>
      <c r="EQ40" s="81"/>
      <c r="ER40" s="81"/>
      <c r="ES40" s="81"/>
      <c r="ET40" s="81"/>
      <c r="EU40" s="76"/>
      <c r="EV40" s="76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</row>
    <row r="41" spans="1:195">
      <c r="A41" s="53">
        <v>24</v>
      </c>
      <c r="B41" s="53" t="s">
        <v>297</v>
      </c>
      <c r="C41" s="82" t="s">
        <v>278</v>
      </c>
      <c r="D41" s="133" t="s">
        <v>298</v>
      </c>
      <c r="E41" s="134"/>
      <c r="F41" s="82" t="s">
        <v>195</v>
      </c>
      <c r="G41" s="135">
        <v>2022</v>
      </c>
      <c r="H41" s="115">
        <v>70.5</v>
      </c>
      <c r="I41" s="127">
        <v>75</v>
      </c>
      <c r="J41" s="127">
        <v>0.94</v>
      </c>
      <c r="K41" s="120"/>
      <c r="L41" s="115"/>
      <c r="M41" s="115"/>
      <c r="N41" s="115"/>
      <c r="O41" s="115"/>
      <c r="P41" s="115"/>
      <c r="Q41" s="115"/>
      <c r="R41" s="115"/>
      <c r="S41" s="115"/>
      <c r="T41" s="115">
        <v>480</v>
      </c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6" t="b">
        <f>TRUE()</f>
        <v>1</v>
      </c>
      <c r="AQ41" s="115" t="s">
        <v>278</v>
      </c>
      <c r="AR41" s="115"/>
      <c r="AS41" s="117"/>
      <c r="AT41" s="117"/>
      <c r="AU41" s="115">
        <v>535</v>
      </c>
      <c r="AV41" s="115"/>
      <c r="AW41" s="115"/>
      <c r="AX41" s="128"/>
      <c r="AY41" s="115">
        <v>2062</v>
      </c>
      <c r="AZ41" s="115">
        <v>1539</v>
      </c>
      <c r="BA41" s="115">
        <v>185.6</v>
      </c>
      <c r="BB41" s="66">
        <v>588.98638080000001</v>
      </c>
      <c r="BC41" s="67"/>
      <c r="BD41" s="68"/>
      <c r="BE41" s="68"/>
      <c r="BF41" s="115"/>
      <c r="BG41" s="115"/>
      <c r="BH41" s="70"/>
      <c r="BI41" s="70"/>
      <c r="BJ41" s="115"/>
      <c r="BK41" s="115"/>
      <c r="BL41" s="115"/>
      <c r="BM41" s="91">
        <v>140.186915887851</v>
      </c>
      <c r="BN41" s="130">
        <v>127.337409564768</v>
      </c>
      <c r="BO41" s="91">
        <v>897.19626168224295</v>
      </c>
      <c r="BP41" s="59"/>
      <c r="BQ41" s="71"/>
      <c r="BR41" s="130">
        <v>814.95942121451503</v>
      </c>
      <c r="BS41" s="115"/>
      <c r="BT41" s="115"/>
      <c r="BU41" s="115"/>
      <c r="BV41" s="115"/>
      <c r="BW41" s="115"/>
      <c r="BX41" s="115"/>
      <c r="BY41" s="115"/>
      <c r="BZ41" s="115"/>
      <c r="CA41" s="121" t="s">
        <v>259</v>
      </c>
      <c r="CB41" s="121" t="s">
        <v>299</v>
      </c>
      <c r="CC41" s="115"/>
      <c r="CD41" s="72"/>
      <c r="CE41" s="123"/>
      <c r="CF41" s="123"/>
      <c r="CG41" s="123"/>
      <c r="CH41" s="123"/>
      <c r="CI41" s="123"/>
      <c r="CJ41" s="123"/>
      <c r="CK41" s="123"/>
      <c r="CL41" s="123"/>
      <c r="CM41" s="125"/>
      <c r="CN41" s="125"/>
      <c r="CO41" s="115"/>
      <c r="CP41" s="115">
        <v>118</v>
      </c>
      <c r="CQ41" s="115">
        <v>1</v>
      </c>
      <c r="CR41" s="126">
        <v>118</v>
      </c>
      <c r="CS41" s="53"/>
      <c r="CT41" s="53"/>
      <c r="CU41" s="53"/>
      <c r="CV41" s="53"/>
      <c r="CW41" s="53"/>
      <c r="CX41" s="53"/>
      <c r="CY41" s="53"/>
      <c r="CZ41" s="53"/>
      <c r="DA41" s="53"/>
      <c r="DB41" s="80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2"/>
      <c r="EK41" s="82"/>
      <c r="EL41" s="82"/>
      <c r="EM41" s="82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</row>
    <row r="42" spans="1:195">
      <c r="A42" s="53">
        <v>37</v>
      </c>
      <c r="B42" s="53" t="s">
        <v>300</v>
      </c>
      <c r="C42" s="82" t="s">
        <v>278</v>
      </c>
      <c r="D42" s="133" t="s">
        <v>298</v>
      </c>
      <c r="E42" s="134"/>
      <c r="F42" s="82" t="s">
        <v>195</v>
      </c>
      <c r="G42" s="135">
        <v>2022</v>
      </c>
      <c r="H42" s="115">
        <v>95</v>
      </c>
      <c r="I42" s="127">
        <v>100</v>
      </c>
      <c r="J42" s="127">
        <v>0.95</v>
      </c>
      <c r="K42" s="120"/>
      <c r="L42" s="115"/>
      <c r="M42" s="115"/>
      <c r="N42" s="115"/>
      <c r="O42" s="115"/>
      <c r="P42" s="115"/>
      <c r="Q42" s="115"/>
      <c r="R42" s="115"/>
      <c r="S42" s="115"/>
      <c r="T42" s="115">
        <v>480</v>
      </c>
      <c r="U42" s="115"/>
      <c r="V42" s="115"/>
      <c r="W42" s="115"/>
      <c r="X42" s="115"/>
      <c r="Y42" s="115"/>
      <c r="Z42" s="115"/>
      <c r="AA42" s="115">
        <v>130</v>
      </c>
      <c r="AB42" s="115"/>
      <c r="AC42" s="115"/>
      <c r="AD42" s="115"/>
      <c r="AE42" s="115">
        <v>40</v>
      </c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6" t="b">
        <f>TRUE()</f>
        <v>1</v>
      </c>
      <c r="AQ42" s="115" t="s">
        <v>278</v>
      </c>
      <c r="AR42" s="115"/>
      <c r="AS42" s="117"/>
      <c r="AT42" s="117"/>
      <c r="AU42" s="115">
        <v>555</v>
      </c>
      <c r="AV42" s="115"/>
      <c r="AW42" s="115"/>
      <c r="AX42" s="128"/>
      <c r="AY42" s="115">
        <v>2062</v>
      </c>
      <c r="AZ42" s="115">
        <v>1539</v>
      </c>
      <c r="BA42" s="115">
        <v>185.6</v>
      </c>
      <c r="BB42" s="66">
        <v>588.98638080000001</v>
      </c>
      <c r="BC42" s="67"/>
      <c r="BD42" s="68"/>
      <c r="BE42" s="68"/>
      <c r="BF42" s="115"/>
      <c r="BG42" s="115"/>
      <c r="BH42" s="70"/>
      <c r="BI42" s="70"/>
      <c r="BJ42" s="115"/>
      <c r="BK42" s="115"/>
      <c r="BL42" s="115"/>
      <c r="BM42" s="91">
        <v>180.18018018018</v>
      </c>
      <c r="BN42" s="130">
        <v>169.783212753024</v>
      </c>
      <c r="BO42" s="91">
        <v>864.86486486486501</v>
      </c>
      <c r="BP42" s="59"/>
      <c r="BQ42" s="71">
        <v>234.23423423423401</v>
      </c>
      <c r="BR42" s="130">
        <v>814.95942121451503</v>
      </c>
      <c r="BS42" s="115"/>
      <c r="BT42" s="115"/>
      <c r="BU42" s="115"/>
      <c r="BV42" s="115"/>
      <c r="BW42" s="115"/>
      <c r="BX42" s="115"/>
      <c r="BY42" s="115"/>
      <c r="BZ42" s="115"/>
      <c r="CA42" s="121"/>
      <c r="CB42" s="121" t="s">
        <v>199</v>
      </c>
      <c r="CC42" s="115"/>
      <c r="CD42" s="72" t="s">
        <v>199</v>
      </c>
      <c r="CE42" s="123"/>
      <c r="CF42" s="123"/>
      <c r="CG42" s="123"/>
      <c r="CH42" s="123"/>
      <c r="CI42" s="123"/>
      <c r="CJ42" s="123"/>
      <c r="CK42" s="123"/>
      <c r="CL42" s="123"/>
      <c r="CM42" s="125"/>
      <c r="CN42" s="125"/>
      <c r="CO42" s="115"/>
      <c r="CP42" s="115">
        <v>96</v>
      </c>
      <c r="CQ42" s="115">
        <v>1</v>
      </c>
      <c r="CR42" s="126">
        <v>96</v>
      </c>
      <c r="CS42" s="79">
        <v>54.4444444444444</v>
      </c>
      <c r="CT42" s="79">
        <v>15</v>
      </c>
      <c r="CU42" s="79">
        <v>32.7777777777778</v>
      </c>
      <c r="CV42" s="79">
        <v>82.2222222222222</v>
      </c>
      <c r="CW42" s="79">
        <v>0</v>
      </c>
      <c r="CX42" s="79">
        <v>10</v>
      </c>
      <c r="CY42" s="79">
        <v>17.2222222222222</v>
      </c>
      <c r="CZ42" s="79">
        <v>55</v>
      </c>
      <c r="DA42" s="79">
        <v>32.7777777777778</v>
      </c>
      <c r="DB42" s="85">
        <v>0.53953953953954004</v>
      </c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2"/>
      <c r="EK42" s="82"/>
      <c r="EL42" s="82"/>
      <c r="EM42" s="82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</row>
    <row r="43" spans="1:195">
      <c r="A43" s="53">
        <v>53</v>
      </c>
      <c r="B43" s="53" t="s">
        <v>301</v>
      </c>
      <c r="C43" s="82" t="s">
        <v>302</v>
      </c>
      <c r="D43" s="133" t="s">
        <v>303</v>
      </c>
      <c r="E43" s="134"/>
      <c r="F43" s="82" t="s">
        <v>195</v>
      </c>
      <c r="G43" s="135">
        <v>2017</v>
      </c>
      <c r="H43" s="141">
        <v>36</v>
      </c>
      <c r="I43" s="142">
        <v>39.46</v>
      </c>
      <c r="J43" s="127">
        <v>0.91231626964014201</v>
      </c>
      <c r="K43" s="91">
        <v>350.4</v>
      </c>
      <c r="L43" s="92"/>
      <c r="M43" s="92"/>
      <c r="N43" s="141">
        <v>112.6</v>
      </c>
      <c r="O43" s="141"/>
      <c r="P43" s="141"/>
      <c r="Q43" s="141"/>
      <c r="R43" s="141"/>
      <c r="S43" s="141"/>
      <c r="T43" s="61">
        <v>122.222222222222</v>
      </c>
      <c r="U43" s="92"/>
      <c r="V43" s="92"/>
      <c r="W43" s="92"/>
      <c r="X43" s="92"/>
      <c r="Y43" s="92"/>
      <c r="Z43" s="141"/>
      <c r="AA43" s="141">
        <v>46</v>
      </c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55" t="b">
        <f>FALSE()</f>
        <v>0</v>
      </c>
      <c r="AQ43" s="141"/>
      <c r="AR43" s="141"/>
      <c r="AS43" s="144"/>
      <c r="AT43" s="144"/>
      <c r="AU43" s="92">
        <v>303</v>
      </c>
      <c r="AV43" s="92">
        <v>175.488</v>
      </c>
      <c r="AW43" s="92">
        <v>127.512</v>
      </c>
      <c r="AX43" s="108">
        <v>0.57916831683168302</v>
      </c>
      <c r="AY43" s="141">
        <v>1547</v>
      </c>
      <c r="AZ43" s="141">
        <v>1188</v>
      </c>
      <c r="BA43" s="141">
        <v>264</v>
      </c>
      <c r="BB43" s="66">
        <v>485.18870399999997</v>
      </c>
      <c r="BC43" s="67">
        <v>85.7826086956522</v>
      </c>
      <c r="BD43" s="68">
        <v>0.176802567719409</v>
      </c>
      <c r="BE43" s="69">
        <v>399.40609530434801</v>
      </c>
      <c r="BF43" s="141"/>
      <c r="BG43" s="141"/>
      <c r="BH43" s="70"/>
      <c r="BI43" s="70"/>
      <c r="BJ43" s="141"/>
      <c r="BK43" s="141"/>
      <c r="BL43" s="134"/>
      <c r="BM43" s="91">
        <v>130.23102310230999</v>
      </c>
      <c r="BN43" s="130">
        <v>81.329181150927994</v>
      </c>
      <c r="BO43" s="91">
        <v>403.37367070040301</v>
      </c>
      <c r="BP43" s="59"/>
      <c r="BQ43" s="71">
        <v>151.815181518152</v>
      </c>
      <c r="BR43" s="130">
        <v>251.90656998935901</v>
      </c>
      <c r="BS43" s="141"/>
      <c r="BT43" s="141"/>
      <c r="BU43" s="141"/>
      <c r="BV43" s="141" t="s">
        <v>304</v>
      </c>
      <c r="BW43" s="141">
        <v>24</v>
      </c>
      <c r="BX43" s="141"/>
      <c r="BY43" s="141"/>
      <c r="BZ43" s="134"/>
      <c r="CA43" s="81" t="s">
        <v>305</v>
      </c>
      <c r="CB43" s="81"/>
      <c r="CC43" s="53" t="s">
        <v>306</v>
      </c>
      <c r="CD43" s="72" t="s">
        <v>307</v>
      </c>
      <c r="CE43" s="135" t="s">
        <v>200</v>
      </c>
      <c r="CF43" s="143"/>
      <c r="CG43" s="143">
        <v>56.3</v>
      </c>
      <c r="CH43" s="143">
        <v>3.65</v>
      </c>
      <c r="CI43" s="143">
        <v>205.495</v>
      </c>
      <c r="CJ43" s="143">
        <v>0.91400000000000003</v>
      </c>
      <c r="CK43" s="143">
        <v>224</v>
      </c>
      <c r="CL43" s="143">
        <v>460</v>
      </c>
      <c r="CM43" s="81"/>
      <c r="CN43" s="81"/>
      <c r="CO43" s="141"/>
      <c r="CP43" s="141">
        <v>96</v>
      </c>
      <c r="CQ43" s="141">
        <v>2</v>
      </c>
      <c r="CR43" s="145">
        <v>192</v>
      </c>
      <c r="CS43" s="79">
        <v>23.018333333333299</v>
      </c>
      <c r="CT43" s="79">
        <v>7.2343333333333302</v>
      </c>
      <c r="CU43" s="79">
        <v>13.1533333333333</v>
      </c>
      <c r="CV43" s="79">
        <v>34.856333333333303</v>
      </c>
      <c r="CW43" s="79">
        <v>0</v>
      </c>
      <c r="CX43" s="79">
        <v>4.6036666666666699</v>
      </c>
      <c r="CY43" s="79">
        <v>10.5226666666667</v>
      </c>
      <c r="CZ43" s="79">
        <v>18.414666666666701</v>
      </c>
      <c r="DA43" s="79">
        <v>13.1533333333333</v>
      </c>
      <c r="DB43" s="85">
        <v>0.41239823982398199</v>
      </c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2"/>
      <c r="EK43" s="82"/>
      <c r="EL43" s="82"/>
      <c r="EM43" s="82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H43" s="81"/>
      <c r="FI43" s="81"/>
      <c r="FJ43" s="81"/>
      <c r="FK43" s="81"/>
      <c r="FL43" s="81"/>
      <c r="FM43" s="81"/>
      <c r="FN43" s="81"/>
      <c r="FO43" s="81"/>
    </row>
    <row r="44" spans="1:195">
      <c r="A44" s="53">
        <v>41</v>
      </c>
      <c r="B44" s="53" t="s">
        <v>308</v>
      </c>
      <c r="C44" s="82" t="s">
        <v>302</v>
      </c>
      <c r="D44" s="133" t="s">
        <v>309</v>
      </c>
      <c r="E44" s="134"/>
      <c r="F44" s="82" t="s">
        <v>195</v>
      </c>
      <c r="G44" s="135">
        <v>2022</v>
      </c>
      <c r="H44" s="141">
        <v>63</v>
      </c>
      <c r="I44" s="83">
        <v>66</v>
      </c>
      <c r="J44" s="127">
        <v>0.95454545454545503</v>
      </c>
      <c r="K44" s="102">
        <v>353</v>
      </c>
      <c r="L44" s="92"/>
      <c r="M44" s="92"/>
      <c r="N44" s="104">
        <v>186.96883852691201</v>
      </c>
      <c r="O44" s="156"/>
      <c r="P44" s="156"/>
      <c r="Q44" s="156"/>
      <c r="R44" s="156"/>
      <c r="S44" s="156"/>
      <c r="T44" s="61">
        <v>179.86888888888899</v>
      </c>
      <c r="U44" s="92"/>
      <c r="V44" s="92"/>
      <c r="W44" s="92"/>
      <c r="X44" s="92"/>
      <c r="Y44" s="92"/>
      <c r="Z44" s="141"/>
      <c r="AA44" s="141">
        <v>130</v>
      </c>
      <c r="AB44" s="141"/>
      <c r="AC44" s="141"/>
      <c r="AD44" s="141"/>
      <c r="AE44" s="141"/>
      <c r="AF44" s="141"/>
      <c r="AG44" s="141"/>
      <c r="AH44" s="141">
        <v>35</v>
      </c>
      <c r="AI44" s="141"/>
      <c r="AJ44" s="141"/>
      <c r="AK44" s="141"/>
      <c r="AL44" s="141"/>
      <c r="AM44" s="141"/>
      <c r="AN44" s="141"/>
      <c r="AO44" s="141"/>
      <c r="AP44" s="155" t="b">
        <f>FALSE()</f>
        <v>0</v>
      </c>
      <c r="AQ44" s="141"/>
      <c r="AR44" s="141"/>
      <c r="AS44" s="144"/>
      <c r="AT44" s="144"/>
      <c r="AU44" s="65">
        <v>450.7</v>
      </c>
      <c r="AV44" s="92"/>
      <c r="AW44" s="92"/>
      <c r="AX44" s="108"/>
      <c r="AY44" s="141">
        <v>2099.4</v>
      </c>
      <c r="AZ44" s="141">
        <v>1456</v>
      </c>
      <c r="BA44" s="141">
        <v>384.6</v>
      </c>
      <c r="BB44" s="66">
        <v>1175.61697344</v>
      </c>
      <c r="BC44" s="67"/>
      <c r="BD44" s="68"/>
      <c r="BE44" s="68"/>
      <c r="BF44" s="92"/>
      <c r="BG44" s="92"/>
      <c r="BH44" s="70"/>
      <c r="BI44" s="70"/>
      <c r="BJ44" s="141"/>
      <c r="BK44" s="141"/>
      <c r="BL44" s="134" t="s">
        <v>239</v>
      </c>
      <c r="BM44" s="104">
        <v>145.1</v>
      </c>
      <c r="BN44" s="130">
        <v>56.140734177115398</v>
      </c>
      <c r="BO44" s="91">
        <v>399.08783867071003</v>
      </c>
      <c r="BP44" s="59"/>
      <c r="BQ44" s="71">
        <v>288.44020412691401</v>
      </c>
      <c r="BR44" s="130">
        <v>152.99956784612499</v>
      </c>
      <c r="BS44" s="141"/>
      <c r="BT44" s="141"/>
      <c r="BU44" s="141"/>
      <c r="BV44" s="141"/>
      <c r="BW44" s="141"/>
      <c r="BX44" s="141"/>
      <c r="BY44" s="141"/>
      <c r="BZ44" s="134"/>
      <c r="CA44" s="81" t="s">
        <v>259</v>
      </c>
      <c r="CB44" s="81"/>
      <c r="CC44" s="53"/>
      <c r="CD44" s="72" t="s">
        <v>260</v>
      </c>
      <c r="CE44" s="135" t="s">
        <v>225</v>
      </c>
      <c r="CF44" s="143"/>
      <c r="CG44" s="143"/>
      <c r="CH44" s="157">
        <v>3.6770833333333299</v>
      </c>
      <c r="CI44" s="143"/>
      <c r="CJ44" s="143"/>
      <c r="CK44" s="143"/>
      <c r="CL44" s="143"/>
      <c r="CM44" s="81"/>
      <c r="CN44" s="81"/>
      <c r="CO44" s="141"/>
      <c r="CP44" s="141">
        <v>96</v>
      </c>
      <c r="CQ44" s="141">
        <v>3</v>
      </c>
      <c r="CR44" s="145">
        <v>288</v>
      </c>
      <c r="CS44" s="79">
        <v>33</v>
      </c>
      <c r="CT44" s="79">
        <v>5.5</v>
      </c>
      <c r="CU44" s="79">
        <v>22</v>
      </c>
      <c r="CV44" s="79">
        <v>49.5</v>
      </c>
      <c r="CW44" s="79">
        <v>0</v>
      </c>
      <c r="CX44" s="79">
        <v>5.5</v>
      </c>
      <c r="CY44" s="79">
        <v>5.5</v>
      </c>
      <c r="CZ44" s="79">
        <v>42.9</v>
      </c>
      <c r="DA44" s="79">
        <v>22</v>
      </c>
      <c r="DB44" s="85">
        <v>0.41246949190148702</v>
      </c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2"/>
      <c r="EK44" s="82"/>
      <c r="EL44" s="82"/>
      <c r="EM44" s="82"/>
      <c r="EN44" s="81"/>
      <c r="EO44" s="81"/>
      <c r="EP44" s="81"/>
      <c r="EQ44" s="81"/>
      <c r="ER44" s="81"/>
      <c r="ES44" s="81"/>
      <c r="ET44" s="81"/>
      <c r="EU44" s="81"/>
      <c r="EV44" s="81"/>
      <c r="EW44" s="81"/>
      <c r="EX44" s="81"/>
      <c r="EY44" s="81"/>
      <c r="EZ44" s="81"/>
      <c r="FA44" s="81"/>
      <c r="FB44" s="81"/>
      <c r="FC44" s="81"/>
      <c r="FD44" s="81"/>
      <c r="FE44" s="81"/>
      <c r="FF44" s="81"/>
      <c r="FG44" s="81"/>
      <c r="FH44" s="81"/>
      <c r="FI44" s="81"/>
      <c r="FJ44" s="81"/>
      <c r="FK44" s="81"/>
      <c r="FL44" s="81"/>
      <c r="FM44" s="81"/>
      <c r="FN44" s="81"/>
      <c r="FO44" s="81"/>
    </row>
    <row r="45" spans="1:195">
      <c r="A45" s="53">
        <v>43</v>
      </c>
      <c r="B45" s="53" t="s">
        <v>310</v>
      </c>
      <c r="C45" s="82" t="s">
        <v>302</v>
      </c>
      <c r="D45" s="133" t="s">
        <v>311</v>
      </c>
      <c r="E45" s="134"/>
      <c r="F45" s="82" t="s">
        <v>195</v>
      </c>
      <c r="G45" s="135">
        <v>2022</v>
      </c>
      <c r="H45" s="141">
        <v>87</v>
      </c>
      <c r="I45" s="83">
        <v>91</v>
      </c>
      <c r="J45" s="127">
        <v>0.95604395604395598</v>
      </c>
      <c r="K45" s="102">
        <v>352</v>
      </c>
      <c r="L45" s="92"/>
      <c r="M45" s="92"/>
      <c r="N45" s="104">
        <v>258</v>
      </c>
      <c r="O45" s="156"/>
      <c r="P45" s="156"/>
      <c r="Q45" s="156"/>
      <c r="R45" s="156"/>
      <c r="S45" s="156"/>
      <c r="T45" s="61">
        <v>200.59111111111099</v>
      </c>
      <c r="U45" s="92"/>
      <c r="V45" s="92"/>
      <c r="W45" s="92"/>
      <c r="X45" s="92"/>
      <c r="Y45" s="92"/>
      <c r="Z45" s="141"/>
      <c r="AA45" s="141">
        <v>130</v>
      </c>
      <c r="AB45" s="141"/>
      <c r="AC45" s="141"/>
      <c r="AD45" s="141"/>
      <c r="AE45" s="141"/>
      <c r="AF45" s="141"/>
      <c r="AG45" s="141"/>
      <c r="AH45" s="141">
        <v>40</v>
      </c>
      <c r="AI45" s="141"/>
      <c r="AJ45" s="141"/>
      <c r="AK45" s="141"/>
      <c r="AL45" s="141"/>
      <c r="AM45" s="141"/>
      <c r="AN45" s="141"/>
      <c r="AO45" s="141"/>
      <c r="AP45" s="155" t="b">
        <f>FALSE()</f>
        <v>0</v>
      </c>
      <c r="AQ45" s="141"/>
      <c r="AR45" s="141"/>
      <c r="AS45" s="144"/>
      <c r="AT45" s="144"/>
      <c r="AU45" s="65">
        <v>578</v>
      </c>
      <c r="AV45" s="92"/>
      <c r="AW45" s="92"/>
      <c r="AX45" s="108"/>
      <c r="AY45" s="141">
        <v>2099.4</v>
      </c>
      <c r="AZ45" s="141">
        <v>1456</v>
      </c>
      <c r="BA45" s="141">
        <v>384.6</v>
      </c>
      <c r="BB45" s="66">
        <v>1175.61697344</v>
      </c>
      <c r="BC45" s="67"/>
      <c r="BD45" s="68"/>
      <c r="BE45" s="68"/>
      <c r="BF45" s="92"/>
      <c r="BG45" s="92"/>
      <c r="BH45" s="70"/>
      <c r="BI45" s="70"/>
      <c r="BJ45" s="141"/>
      <c r="BK45" s="141"/>
      <c r="BL45" s="134" t="s">
        <v>239</v>
      </c>
      <c r="BM45" s="104">
        <v>156.4</v>
      </c>
      <c r="BN45" s="130">
        <v>77.406163789659104</v>
      </c>
      <c r="BO45" s="91">
        <v>347.04344482891202</v>
      </c>
      <c r="BP45" s="59"/>
      <c r="BQ45" s="71">
        <v>224.91349480968901</v>
      </c>
      <c r="BR45" s="130">
        <v>170.62624616941099</v>
      </c>
      <c r="BS45" s="141"/>
      <c r="BT45" s="141"/>
      <c r="BU45" s="141"/>
      <c r="BV45" s="141"/>
      <c r="BW45" s="141"/>
      <c r="BX45" s="141"/>
      <c r="BY45" s="141"/>
      <c r="BZ45" s="134"/>
      <c r="CA45" s="81" t="s">
        <v>259</v>
      </c>
      <c r="CB45" s="81"/>
      <c r="CC45" s="53"/>
      <c r="CD45" s="72" t="s">
        <v>260</v>
      </c>
      <c r="CE45" s="135" t="s">
        <v>225</v>
      </c>
      <c r="CF45" s="143"/>
      <c r="CG45" s="143">
        <v>64.5</v>
      </c>
      <c r="CH45" s="157">
        <v>3.6666666666666701</v>
      </c>
      <c r="CI45" s="143">
        <v>236.5</v>
      </c>
      <c r="CJ45" s="143"/>
      <c r="CK45" s="143"/>
      <c r="CL45" s="143"/>
      <c r="CM45" s="81"/>
      <c r="CN45" s="81"/>
      <c r="CO45" s="141"/>
      <c r="CP45" s="141">
        <v>96</v>
      </c>
      <c r="CQ45" s="141">
        <v>4</v>
      </c>
      <c r="CR45" s="145">
        <v>384</v>
      </c>
      <c r="CS45" s="79">
        <v>45.5</v>
      </c>
      <c r="CT45" s="79">
        <v>7.5833333333333304</v>
      </c>
      <c r="CU45" s="79">
        <v>30.3333333333333</v>
      </c>
      <c r="CV45" s="79">
        <v>68.25</v>
      </c>
      <c r="CW45" s="79">
        <v>0</v>
      </c>
      <c r="CX45" s="79">
        <v>7.5833333333333304</v>
      </c>
      <c r="CY45" s="79">
        <v>7.5833333333333304</v>
      </c>
      <c r="CZ45" s="79">
        <v>59.15</v>
      </c>
      <c r="DA45" s="79">
        <v>30.3333333333333</v>
      </c>
      <c r="DB45" s="85">
        <v>0.44345444059976902</v>
      </c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2"/>
      <c r="EK45" s="82"/>
      <c r="EL45" s="82"/>
      <c r="EM45" s="82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</row>
    <row r="46" spans="1:195">
      <c r="A46" s="53">
        <v>43</v>
      </c>
      <c r="B46" s="53" t="s">
        <v>312</v>
      </c>
      <c r="C46" s="82" t="s">
        <v>302</v>
      </c>
      <c r="D46" s="133" t="s">
        <v>313</v>
      </c>
      <c r="E46" s="134"/>
      <c r="F46" s="82" t="s">
        <v>195</v>
      </c>
      <c r="G46" s="135">
        <v>2022</v>
      </c>
      <c r="H46" s="141">
        <v>87</v>
      </c>
      <c r="I46" s="83">
        <v>91</v>
      </c>
      <c r="J46" s="127">
        <v>0.95604395604395598</v>
      </c>
      <c r="K46" s="102">
        <v>352</v>
      </c>
      <c r="L46" s="92"/>
      <c r="M46" s="92"/>
      <c r="N46" s="104">
        <v>258</v>
      </c>
      <c r="O46" s="156"/>
      <c r="P46" s="156"/>
      <c r="Q46" s="156"/>
      <c r="R46" s="156"/>
      <c r="S46" s="156"/>
      <c r="T46" s="61">
        <v>250</v>
      </c>
      <c r="U46" s="92"/>
      <c r="V46" s="92"/>
      <c r="W46" s="92"/>
      <c r="X46" s="92"/>
      <c r="Y46" s="92"/>
      <c r="Z46" s="141"/>
      <c r="AA46" s="141">
        <v>130</v>
      </c>
      <c r="AB46" s="141"/>
      <c r="AC46" s="141"/>
      <c r="AD46" s="141"/>
      <c r="AE46" s="141"/>
      <c r="AF46" s="141"/>
      <c r="AG46" s="141"/>
      <c r="AH46" s="141">
        <v>35</v>
      </c>
      <c r="AI46" s="141"/>
      <c r="AJ46" s="141"/>
      <c r="AK46" s="141"/>
      <c r="AL46" s="141"/>
      <c r="AM46" s="141"/>
      <c r="AN46" s="141"/>
      <c r="AO46" s="141"/>
      <c r="AP46" s="155" t="b">
        <f>FALSE()</f>
        <v>0</v>
      </c>
      <c r="AQ46" s="141"/>
      <c r="AR46" s="141"/>
      <c r="AS46" s="144"/>
      <c r="AT46" s="144"/>
      <c r="AU46" s="65">
        <v>578</v>
      </c>
      <c r="AV46" s="92"/>
      <c r="AW46" s="92"/>
      <c r="AX46" s="108"/>
      <c r="AY46" s="141">
        <v>2099.4</v>
      </c>
      <c r="AZ46" s="141">
        <v>1456</v>
      </c>
      <c r="BA46" s="141">
        <v>384.6</v>
      </c>
      <c r="BB46" s="66">
        <v>1175.61697344</v>
      </c>
      <c r="BC46" s="67"/>
      <c r="BD46" s="68"/>
      <c r="BE46" s="68"/>
      <c r="BF46" s="92"/>
      <c r="BG46" s="92"/>
      <c r="BH46" s="70"/>
      <c r="BI46" s="70"/>
      <c r="BJ46" s="141"/>
      <c r="BK46" s="141"/>
      <c r="BL46" s="134" t="s">
        <v>239</v>
      </c>
      <c r="BM46" s="104">
        <v>156.4</v>
      </c>
      <c r="BN46" s="130">
        <v>77.406163789659104</v>
      </c>
      <c r="BO46" s="91">
        <v>432.52595155709298</v>
      </c>
      <c r="BP46" s="59"/>
      <c r="BQ46" s="71">
        <v>224.91349480968901</v>
      </c>
      <c r="BR46" s="130">
        <v>212.65429612543701</v>
      </c>
      <c r="BS46" s="141"/>
      <c r="BT46" s="141"/>
      <c r="BU46" s="141"/>
      <c r="BV46" s="141"/>
      <c r="BW46" s="141"/>
      <c r="BX46" s="141"/>
      <c r="BY46" s="141"/>
      <c r="BZ46" s="134"/>
      <c r="CA46" s="81" t="s">
        <v>259</v>
      </c>
      <c r="CB46" s="81"/>
      <c r="CC46" s="53"/>
      <c r="CD46" s="72" t="s">
        <v>260</v>
      </c>
      <c r="CE46" s="135" t="s">
        <v>225</v>
      </c>
      <c r="CF46" s="143"/>
      <c r="CG46" s="143">
        <v>64.5</v>
      </c>
      <c r="CH46" s="157">
        <v>3.6666666666666701</v>
      </c>
      <c r="CI46" s="143">
        <v>236.5</v>
      </c>
      <c r="CJ46" s="143"/>
      <c r="CK46" s="143"/>
      <c r="CL46" s="143"/>
      <c r="CM46" s="81"/>
      <c r="CN46" s="81"/>
      <c r="CO46" s="141"/>
      <c r="CP46" s="141">
        <v>96</v>
      </c>
      <c r="CQ46" s="141">
        <v>4</v>
      </c>
      <c r="CR46" s="145">
        <v>384</v>
      </c>
      <c r="CS46" s="79">
        <v>45.5</v>
      </c>
      <c r="CT46" s="79">
        <v>7.5833333333333304</v>
      </c>
      <c r="CU46" s="79">
        <v>30.3333333333333</v>
      </c>
      <c r="CV46" s="79">
        <v>68.25</v>
      </c>
      <c r="CW46" s="79">
        <v>0</v>
      </c>
      <c r="CX46" s="79">
        <v>7.5833333333333304</v>
      </c>
      <c r="CY46" s="79">
        <v>7.5833333333333304</v>
      </c>
      <c r="CZ46" s="79">
        <v>59.15</v>
      </c>
      <c r="DA46" s="79">
        <v>30.3333333333333</v>
      </c>
      <c r="DB46" s="85">
        <v>0.44345444059976902</v>
      </c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2"/>
      <c r="EK46" s="82"/>
      <c r="EL46" s="82"/>
      <c r="EM46" s="82"/>
      <c r="EN46" s="81"/>
      <c r="EO46" s="81"/>
      <c r="EP46" s="81"/>
      <c r="EQ46" s="81"/>
      <c r="ER46" s="81"/>
      <c r="ES46" s="81"/>
      <c r="ET46" s="81"/>
      <c r="EU46" s="81"/>
      <c r="EV46" s="81"/>
      <c r="EW46" s="81"/>
      <c r="EX46" s="81"/>
      <c r="EY46" s="81"/>
      <c r="EZ46" s="81"/>
      <c r="FA46" s="81"/>
      <c r="FB46" s="81"/>
      <c r="FC46" s="81"/>
      <c r="FD46" s="81"/>
      <c r="FE46" s="81"/>
      <c r="FF46" s="81"/>
      <c r="FG46" s="81"/>
      <c r="FH46" s="81"/>
      <c r="FI46" s="81"/>
      <c r="FJ46" s="81"/>
      <c r="FK46" s="81"/>
      <c r="FL46" s="81"/>
      <c r="FM46" s="81"/>
      <c r="FN46" s="81"/>
      <c r="FO46" s="81"/>
    </row>
    <row r="47" spans="1:195">
      <c r="A47" s="53">
        <v>43</v>
      </c>
      <c r="B47" s="53" t="s">
        <v>314</v>
      </c>
      <c r="C47" s="82" t="s">
        <v>302</v>
      </c>
      <c r="D47" s="133" t="s">
        <v>315</v>
      </c>
      <c r="E47" s="134"/>
      <c r="F47" s="82" t="s">
        <v>195</v>
      </c>
      <c r="G47" s="135">
        <v>2023</v>
      </c>
      <c r="H47" s="141">
        <v>87</v>
      </c>
      <c r="I47" s="83">
        <v>91</v>
      </c>
      <c r="J47" s="127">
        <v>0.95604395604395598</v>
      </c>
      <c r="K47" s="102">
        <v>352</v>
      </c>
      <c r="L47" s="92"/>
      <c r="M47" s="92"/>
      <c r="N47" s="104">
        <v>258</v>
      </c>
      <c r="O47" s="156"/>
      <c r="P47" s="156"/>
      <c r="Q47" s="156"/>
      <c r="R47" s="156"/>
      <c r="S47" s="156"/>
      <c r="T47" s="61">
        <v>322.222222222222</v>
      </c>
      <c r="U47" s="92"/>
      <c r="V47" s="92"/>
      <c r="W47" s="92"/>
      <c r="X47" s="92"/>
      <c r="Y47" s="92"/>
      <c r="Z47" s="141"/>
      <c r="AA47" s="141">
        <v>130</v>
      </c>
      <c r="AB47" s="141"/>
      <c r="AC47" s="141"/>
      <c r="AD47" s="141"/>
      <c r="AE47" s="141"/>
      <c r="AF47" s="141"/>
      <c r="AG47" s="141"/>
      <c r="AH47" s="141">
        <v>35</v>
      </c>
      <c r="AI47" s="141"/>
      <c r="AJ47" s="141"/>
      <c r="AK47" s="141"/>
      <c r="AL47" s="141"/>
      <c r="AM47" s="141"/>
      <c r="AN47" s="141"/>
      <c r="AO47" s="141"/>
      <c r="AP47" s="155" t="b">
        <f>FALSE()</f>
        <v>0</v>
      </c>
      <c r="AQ47" s="141"/>
      <c r="AR47" s="141"/>
      <c r="AS47" s="144"/>
      <c r="AT47" s="144"/>
      <c r="AU47" s="65">
        <v>578</v>
      </c>
      <c r="AV47" s="92"/>
      <c r="AW47" s="92"/>
      <c r="AX47" s="108"/>
      <c r="AY47" s="141">
        <v>2099.4</v>
      </c>
      <c r="AZ47" s="141">
        <v>1456</v>
      </c>
      <c r="BA47" s="141">
        <v>384.6</v>
      </c>
      <c r="BB47" s="66">
        <v>1175.61697344</v>
      </c>
      <c r="BC47" s="67"/>
      <c r="BD47" s="68"/>
      <c r="BE47" s="68"/>
      <c r="BF47" s="92"/>
      <c r="BG47" s="92"/>
      <c r="BH47" s="70"/>
      <c r="BI47" s="70"/>
      <c r="BJ47" s="141"/>
      <c r="BK47" s="141"/>
      <c r="BL47" s="134" t="s">
        <v>239</v>
      </c>
      <c r="BM47" s="104">
        <v>156.4</v>
      </c>
      <c r="BN47" s="130">
        <v>77.406163789659104</v>
      </c>
      <c r="BO47" s="91">
        <v>557.47789311803194</v>
      </c>
      <c r="BP47" s="59"/>
      <c r="BQ47" s="71">
        <v>224.91349480968901</v>
      </c>
      <c r="BR47" s="130">
        <v>274.08775945056402</v>
      </c>
      <c r="BS47" s="141"/>
      <c r="BT47" s="141"/>
      <c r="BU47" s="141"/>
      <c r="BV47" s="141"/>
      <c r="BW47" s="141"/>
      <c r="BX47" s="141"/>
      <c r="BY47" s="141"/>
      <c r="BZ47" s="134"/>
      <c r="CA47" s="81" t="s">
        <v>259</v>
      </c>
      <c r="CB47" s="81"/>
      <c r="CC47" s="53"/>
      <c r="CD47" s="72" t="s">
        <v>260</v>
      </c>
      <c r="CE47" s="135" t="s">
        <v>225</v>
      </c>
      <c r="CF47" s="143"/>
      <c r="CG47" s="143">
        <v>64.5</v>
      </c>
      <c r="CH47" s="157">
        <v>3.6666666666666701</v>
      </c>
      <c r="CI47" s="143">
        <v>236.5</v>
      </c>
      <c r="CJ47" s="143"/>
      <c r="CK47" s="143"/>
      <c r="CL47" s="143"/>
      <c r="CM47" s="81"/>
      <c r="CN47" s="81"/>
      <c r="CO47" s="141"/>
      <c r="CP47" s="141">
        <v>96</v>
      </c>
      <c r="CQ47" s="141">
        <v>4</v>
      </c>
      <c r="CR47" s="145">
        <v>384</v>
      </c>
      <c r="CS47" s="79">
        <v>45.5</v>
      </c>
      <c r="CT47" s="79">
        <v>7.5833333333333304</v>
      </c>
      <c r="CU47" s="79">
        <v>30.3333333333333</v>
      </c>
      <c r="CV47" s="79">
        <v>68.25</v>
      </c>
      <c r="CW47" s="79">
        <v>0</v>
      </c>
      <c r="CX47" s="79">
        <v>7.5833333333333304</v>
      </c>
      <c r="CY47" s="79">
        <v>7.5833333333333304</v>
      </c>
      <c r="CZ47" s="79">
        <v>59.15</v>
      </c>
      <c r="DA47" s="79">
        <v>30.3333333333333</v>
      </c>
      <c r="DB47" s="85">
        <v>0.44345444059976902</v>
      </c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2"/>
      <c r="EK47" s="82"/>
      <c r="EL47" s="82"/>
      <c r="EM47" s="82"/>
      <c r="EN47" s="150"/>
      <c r="EO47" s="150"/>
      <c r="EP47" s="150"/>
      <c r="EQ47" s="150"/>
      <c r="ER47" s="150"/>
      <c r="ES47" s="150"/>
      <c r="ET47" s="150"/>
      <c r="EU47" s="150"/>
      <c r="EV47" s="150"/>
      <c r="EW47" s="150"/>
      <c r="EX47" s="150"/>
      <c r="EY47" s="150"/>
      <c r="EZ47" s="150"/>
      <c r="FA47" s="150"/>
      <c r="FB47" s="150"/>
      <c r="FC47" s="150"/>
      <c r="FD47" s="150"/>
      <c r="FE47" s="150"/>
      <c r="FF47" s="150"/>
      <c r="FG47" s="150"/>
      <c r="FH47" s="150"/>
      <c r="FI47" s="150"/>
      <c r="FJ47" s="150"/>
      <c r="FK47" s="150"/>
      <c r="FL47" s="150"/>
      <c r="FM47" s="150"/>
      <c r="FN47" s="81"/>
      <c r="FO47" s="150"/>
      <c r="FP47" s="158"/>
      <c r="FQ47" s="158"/>
      <c r="FR47" s="158"/>
      <c r="FS47" s="158"/>
      <c r="FT47" s="158"/>
      <c r="FU47" s="158"/>
      <c r="FV47" s="158"/>
      <c r="FW47" s="158"/>
      <c r="FX47" s="158"/>
      <c r="FY47" s="158"/>
      <c r="FZ47" s="158"/>
      <c r="GA47" s="158"/>
      <c r="GB47" s="158"/>
      <c r="GC47" s="158"/>
      <c r="GD47" s="158"/>
      <c r="GE47" s="158"/>
      <c r="GF47" s="158"/>
      <c r="GG47" s="158"/>
      <c r="GH47" s="158"/>
      <c r="GI47" s="158"/>
      <c r="GM47" s="158"/>
    </row>
    <row r="48" spans="1:195">
      <c r="A48" s="53">
        <v>38</v>
      </c>
      <c r="B48" s="53" t="s">
        <v>316</v>
      </c>
      <c r="C48" s="110" t="s">
        <v>317</v>
      </c>
      <c r="D48" s="111" t="s">
        <v>318</v>
      </c>
      <c r="E48" s="112"/>
      <c r="F48" s="110" t="s">
        <v>195</v>
      </c>
      <c r="G48" s="113"/>
      <c r="H48" s="113"/>
      <c r="I48" s="83">
        <v>67.62</v>
      </c>
      <c r="J48" s="127"/>
      <c r="K48" s="104">
        <v>386.4</v>
      </c>
      <c r="L48" s="65">
        <v>438</v>
      </c>
      <c r="M48" s="65">
        <v>240</v>
      </c>
      <c r="N48" s="102">
        <v>175</v>
      </c>
      <c r="O48" s="92"/>
      <c r="P48" s="141"/>
      <c r="Q48" s="141"/>
      <c r="R48" s="141"/>
      <c r="S48" s="141"/>
      <c r="T48" s="65">
        <v>468</v>
      </c>
      <c r="U48" s="92"/>
      <c r="V48" s="92"/>
      <c r="W48" s="92"/>
      <c r="X48" s="92"/>
      <c r="Y48" s="92"/>
      <c r="Z48" s="65">
        <v>192</v>
      </c>
      <c r="AA48" s="141"/>
      <c r="AB48" s="141"/>
      <c r="AC48" s="141"/>
      <c r="AD48" s="141"/>
      <c r="AE48" s="65">
        <v>16</v>
      </c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4"/>
      <c r="AT48" s="144"/>
      <c r="AU48" s="92"/>
      <c r="AV48" s="92"/>
      <c r="AW48" s="92"/>
      <c r="AX48" s="108"/>
      <c r="AY48" s="65">
        <v>1380.36</v>
      </c>
      <c r="AZ48" s="65">
        <v>1347.76</v>
      </c>
      <c r="BA48" s="65">
        <v>146.41</v>
      </c>
      <c r="BB48" s="66">
        <v>272.38028460297602</v>
      </c>
      <c r="BC48" s="67"/>
      <c r="BD48" s="68"/>
      <c r="BE48" s="68"/>
      <c r="BF48" s="92"/>
      <c r="BG48" s="65" t="s">
        <v>319</v>
      </c>
      <c r="BH48" s="70"/>
      <c r="BI48" s="70"/>
      <c r="BJ48" s="141"/>
      <c r="BK48" s="141"/>
      <c r="BL48" s="65" t="s">
        <v>239</v>
      </c>
      <c r="BM48" s="141"/>
      <c r="BN48" s="66">
        <v>248.25585338734601</v>
      </c>
      <c r="BO48" s="91"/>
      <c r="BP48" s="59"/>
      <c r="BQ48" s="71"/>
      <c r="BR48" s="66">
        <v>1718.18603054241</v>
      </c>
      <c r="BS48" s="141"/>
      <c r="BT48" s="141"/>
      <c r="BU48" s="141"/>
      <c r="BV48" s="141"/>
      <c r="BW48" s="141"/>
      <c r="BX48" s="141"/>
      <c r="BY48" s="141"/>
      <c r="BZ48" s="134"/>
      <c r="CA48" s="159" t="s">
        <v>317</v>
      </c>
      <c r="CB48" s="134"/>
      <c r="CC48" s="134"/>
      <c r="CD48" s="65" t="s">
        <v>248</v>
      </c>
      <c r="CE48" s="135" t="s">
        <v>225</v>
      </c>
      <c r="CF48" s="143"/>
      <c r="CG48" s="131">
        <v>175</v>
      </c>
      <c r="CH48" s="160">
        <v>3.22</v>
      </c>
      <c r="CI48" s="161">
        <v>563.5</v>
      </c>
      <c r="CJ48" s="161"/>
      <c r="CK48" s="161"/>
      <c r="CL48" s="161"/>
      <c r="CM48" s="53"/>
      <c r="CN48" s="143"/>
      <c r="CO48" s="141">
        <v>1</v>
      </c>
      <c r="CP48" s="152">
        <v>120</v>
      </c>
      <c r="CQ48" s="152">
        <v>1</v>
      </c>
      <c r="CR48" s="162">
        <v>120</v>
      </c>
      <c r="CS48" s="79">
        <v>49.588000000000001</v>
      </c>
      <c r="CT48" s="79">
        <v>0</v>
      </c>
      <c r="CU48" s="79">
        <v>29.302</v>
      </c>
      <c r="CV48" s="79">
        <v>74.382000000000005</v>
      </c>
      <c r="CW48" s="79">
        <v>46.207000000000001</v>
      </c>
      <c r="CX48" s="79">
        <v>6.7619999999999996</v>
      </c>
      <c r="CY48" s="79">
        <v>0</v>
      </c>
      <c r="CZ48" s="79">
        <v>0</v>
      </c>
      <c r="DA48" s="79">
        <v>29.302</v>
      </c>
      <c r="DB48" s="80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2"/>
      <c r="EK48" s="82"/>
      <c r="EL48" s="82"/>
      <c r="EM48" s="82"/>
      <c r="EN48" s="81"/>
      <c r="EO48" s="81"/>
      <c r="EP48" s="81"/>
      <c r="EQ48" s="81"/>
      <c r="ER48" s="81"/>
      <c r="ES48" s="81"/>
      <c r="ET48" s="81"/>
      <c r="EU48" s="81"/>
      <c r="EV48" s="81"/>
      <c r="EW48" s="81"/>
      <c r="EX48" s="81"/>
      <c r="EY48" s="81"/>
      <c r="EZ48" s="81"/>
      <c r="FA48" s="81"/>
      <c r="FB48" s="81"/>
      <c r="FC48" s="81"/>
      <c r="FD48" s="81"/>
      <c r="FE48" s="81"/>
      <c r="FF48" s="81"/>
      <c r="FG48" s="81"/>
      <c r="FH48" s="81"/>
      <c r="FI48" s="81"/>
      <c r="FJ48" s="81"/>
      <c r="FK48" s="81"/>
      <c r="FL48" s="81"/>
      <c r="FM48" s="81"/>
      <c r="FN48" s="81"/>
      <c r="FO48" s="81"/>
    </row>
    <row r="49" spans="1:171">
      <c r="A49" s="53">
        <v>57</v>
      </c>
      <c r="B49" s="53" t="s">
        <v>320</v>
      </c>
      <c r="C49" s="163" t="s">
        <v>321</v>
      </c>
      <c r="D49" s="164" t="s">
        <v>322</v>
      </c>
      <c r="E49" s="165"/>
      <c r="F49" s="163" t="s">
        <v>195</v>
      </c>
      <c r="G49" s="166">
        <v>2021</v>
      </c>
      <c r="H49" s="165">
        <v>135</v>
      </c>
      <c r="I49" s="167">
        <v>141.1344</v>
      </c>
      <c r="J49" s="167">
        <v>0.95653504744413798</v>
      </c>
      <c r="K49" s="129">
        <v>392.04</v>
      </c>
      <c r="L49" s="165"/>
      <c r="M49" s="165"/>
      <c r="N49" s="65">
        <v>360</v>
      </c>
      <c r="O49" s="86">
        <v>3.7499999999999999E-2</v>
      </c>
      <c r="P49" s="165"/>
      <c r="Q49" s="165"/>
      <c r="R49" s="165"/>
      <c r="S49" s="165"/>
      <c r="T49" s="61">
        <v>690</v>
      </c>
      <c r="U49" s="165"/>
      <c r="V49" s="165"/>
      <c r="W49" s="165"/>
      <c r="X49" s="165"/>
      <c r="Y49" s="165"/>
      <c r="Z49" s="165"/>
      <c r="AA49" s="165">
        <v>210</v>
      </c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7" t="b">
        <f>FALSE()</f>
        <v>0</v>
      </c>
      <c r="AQ49" s="165"/>
      <c r="AR49" s="165"/>
      <c r="AS49" s="168"/>
      <c r="AT49" s="168"/>
      <c r="AU49" s="102">
        <v>796</v>
      </c>
      <c r="AV49" s="165">
        <v>540.43200000000002</v>
      </c>
      <c r="AW49" s="165">
        <v>255.56800000000001</v>
      </c>
      <c r="AX49" s="169">
        <v>0.678934673366834</v>
      </c>
      <c r="AY49" s="165">
        <v>2155</v>
      </c>
      <c r="AZ49" s="165">
        <v>1355</v>
      </c>
      <c r="BA49" s="165">
        <v>225</v>
      </c>
      <c r="BB49" s="65">
        <v>562</v>
      </c>
      <c r="BC49" s="67">
        <v>190.72216216216199</v>
      </c>
      <c r="BD49" s="68">
        <v>0.33936327786861598</v>
      </c>
      <c r="BE49" s="69">
        <v>371.27783783783798</v>
      </c>
      <c r="BF49" s="165" t="s">
        <v>323</v>
      </c>
      <c r="BG49" s="165"/>
      <c r="BH49" s="70"/>
      <c r="BI49" s="70"/>
      <c r="BJ49" s="165"/>
      <c r="BK49" s="165"/>
      <c r="BL49" s="165" t="s">
        <v>239</v>
      </c>
      <c r="BM49" s="66">
        <v>177.30452261306499</v>
      </c>
      <c r="BN49" s="66">
        <v>251.12882562277599</v>
      </c>
      <c r="BO49" s="66">
        <v>866.83417085427095</v>
      </c>
      <c r="BP49" s="129"/>
      <c r="BQ49" s="66">
        <v>263.81909547738701</v>
      </c>
      <c r="BR49" s="66">
        <v>1227.75800711744</v>
      </c>
      <c r="BS49" s="165"/>
      <c r="BT49" s="165"/>
      <c r="BU49" s="165"/>
      <c r="BV49" s="165"/>
      <c r="BW49" s="165"/>
      <c r="BX49" s="165"/>
      <c r="BY49" s="165"/>
      <c r="BZ49" s="165"/>
      <c r="CA49" s="163" t="s">
        <v>222</v>
      </c>
      <c r="CB49" s="163" t="s">
        <v>324</v>
      </c>
      <c r="CC49" s="165" t="s">
        <v>325</v>
      </c>
      <c r="CD49" s="72" t="s">
        <v>326</v>
      </c>
      <c r="CE49" s="166" t="s">
        <v>327</v>
      </c>
      <c r="CF49" s="170">
        <v>21700</v>
      </c>
      <c r="CG49" s="170">
        <v>5</v>
      </c>
      <c r="CH49" s="170">
        <v>3.63</v>
      </c>
      <c r="CI49" s="170">
        <v>18.149999999999999</v>
      </c>
      <c r="CJ49" s="170">
        <v>6.9500000000000006E-2</v>
      </c>
      <c r="CK49" s="171">
        <v>261.15107913669101</v>
      </c>
      <c r="CL49" s="171">
        <v>740</v>
      </c>
      <c r="CM49" s="172">
        <v>2.5000000000000001E-2</v>
      </c>
      <c r="CN49" s="81"/>
      <c r="CO49" s="141"/>
      <c r="CP49" s="141">
        <v>108</v>
      </c>
      <c r="CQ49" s="141">
        <v>72</v>
      </c>
      <c r="CR49" s="145">
        <v>7776</v>
      </c>
      <c r="CS49" s="79">
        <v>70.5672</v>
      </c>
      <c r="CT49" s="79">
        <v>4.7044800000000002</v>
      </c>
      <c r="CU49" s="79">
        <v>39.988079999999997</v>
      </c>
      <c r="CV49" s="79">
        <v>103.49856</v>
      </c>
      <c r="CW49" s="79">
        <v>0</v>
      </c>
      <c r="CX49" s="79">
        <v>14.113440000000001</v>
      </c>
      <c r="CY49" s="79">
        <v>0</v>
      </c>
      <c r="CZ49" s="79">
        <v>101.14632</v>
      </c>
      <c r="DA49" s="79">
        <v>39.988079999999997</v>
      </c>
      <c r="DB49" s="85">
        <v>0.46985698492462302</v>
      </c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2"/>
      <c r="EK49" s="82"/>
      <c r="EL49" s="82"/>
      <c r="EM49" s="82"/>
      <c r="EN49" s="81"/>
      <c r="EO49" s="81"/>
      <c r="EP49" s="81"/>
      <c r="EQ49" s="81"/>
      <c r="ER49" s="81"/>
      <c r="ES49" s="81"/>
      <c r="ET49" s="81"/>
      <c r="EU49" s="81"/>
      <c r="EV49" s="81"/>
      <c r="EW49" s="81"/>
      <c r="EX49" s="81"/>
      <c r="EY49" s="81"/>
      <c r="EZ49" s="81"/>
      <c r="FA49" s="81"/>
      <c r="FB49" s="81"/>
      <c r="FC49" s="81"/>
      <c r="FD49" s="81"/>
      <c r="FE49" s="81"/>
      <c r="FF49" s="81"/>
      <c r="FG49" s="81"/>
      <c r="FH49" s="81"/>
      <c r="FI49" s="81"/>
      <c r="FJ49" s="81"/>
      <c r="FK49" s="81"/>
      <c r="FL49" s="81"/>
      <c r="FM49" s="81"/>
      <c r="FN49" s="81"/>
      <c r="FO49" s="81"/>
    </row>
    <row r="50" spans="1:171">
      <c r="A50" s="53">
        <v>41</v>
      </c>
      <c r="B50" s="53" t="s">
        <v>328</v>
      </c>
      <c r="C50" s="173" t="s">
        <v>329</v>
      </c>
      <c r="D50" s="174" t="s">
        <v>330</v>
      </c>
      <c r="E50" s="175"/>
      <c r="F50" s="173" t="s">
        <v>195</v>
      </c>
      <c r="G50" s="135">
        <v>2012</v>
      </c>
      <c r="H50" s="115">
        <v>41.8</v>
      </c>
      <c r="I50" s="127">
        <v>42.481920000000002</v>
      </c>
      <c r="J50" s="127">
        <v>0.98394799481756001</v>
      </c>
      <c r="K50" s="120">
        <v>340.4</v>
      </c>
      <c r="L50" s="65">
        <v>386</v>
      </c>
      <c r="M50" s="65">
        <v>230</v>
      </c>
      <c r="N50" s="115">
        <v>124.8</v>
      </c>
      <c r="O50" s="115"/>
      <c r="P50" s="115"/>
      <c r="Q50" s="115"/>
      <c r="R50" s="115"/>
      <c r="S50" s="115"/>
      <c r="T50" s="104">
        <v>129</v>
      </c>
      <c r="U50" s="115"/>
      <c r="V50" s="115"/>
      <c r="W50" s="115"/>
      <c r="X50" s="65">
        <v>62</v>
      </c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6" t="b">
        <f>FALSE()</f>
        <v>0</v>
      </c>
      <c r="AQ50" s="115"/>
      <c r="AR50" s="115"/>
      <c r="AS50" s="117"/>
      <c r="AT50" s="117"/>
      <c r="AU50" s="115">
        <v>383.5</v>
      </c>
      <c r="AV50" s="115">
        <v>205.34399999999999</v>
      </c>
      <c r="AW50" s="92">
        <v>178.15600000000001</v>
      </c>
      <c r="AX50" s="108">
        <v>0.53544719687092601</v>
      </c>
      <c r="AY50" s="115">
        <v>1876</v>
      </c>
      <c r="AZ50" s="115">
        <v>1454</v>
      </c>
      <c r="BA50" s="115">
        <v>270</v>
      </c>
      <c r="BB50" s="66">
        <v>736.48008000000004</v>
      </c>
      <c r="BC50" s="67">
        <v>73.042783178199599</v>
      </c>
      <c r="BD50" s="68">
        <v>9.9178219699030498E-2</v>
      </c>
      <c r="BE50" s="69">
        <v>663.43729682180106</v>
      </c>
      <c r="BF50" s="115"/>
      <c r="BG50" s="115"/>
      <c r="BH50" s="70"/>
      <c r="BI50" s="70"/>
      <c r="BJ50" s="115"/>
      <c r="BK50" s="115"/>
      <c r="BL50" s="115"/>
      <c r="BM50" s="91">
        <v>110.77423728813601</v>
      </c>
      <c r="BN50" s="66">
        <v>57.682374790096198</v>
      </c>
      <c r="BO50" s="120">
        <v>336.37548891786201</v>
      </c>
      <c r="BP50" s="59"/>
      <c r="BQ50" s="71"/>
      <c r="BR50" s="66">
        <v>175.157486947916</v>
      </c>
      <c r="BS50" s="115"/>
      <c r="BT50" s="115"/>
      <c r="BU50" s="115"/>
      <c r="BV50" s="115"/>
      <c r="BW50" s="115"/>
      <c r="BX50" s="115"/>
      <c r="BY50" s="115"/>
      <c r="BZ50" s="115"/>
      <c r="CA50" s="121" t="s">
        <v>331</v>
      </c>
      <c r="CB50" s="121"/>
      <c r="CC50" s="115"/>
      <c r="CD50" s="72"/>
      <c r="CE50" s="122" t="s">
        <v>327</v>
      </c>
      <c r="CF50" s="122">
        <v>18650</v>
      </c>
      <c r="CG50" s="123">
        <v>2.6</v>
      </c>
      <c r="CH50" s="123">
        <v>3.7</v>
      </c>
      <c r="CI50" s="123">
        <v>9.6199999999999992</v>
      </c>
      <c r="CJ50" s="123">
        <v>4.65E-2</v>
      </c>
      <c r="CK50" s="136">
        <v>206.881720430108</v>
      </c>
      <c r="CL50" s="136">
        <v>581.60324882964198</v>
      </c>
      <c r="CM50" s="125"/>
      <c r="CN50" s="125"/>
      <c r="CO50" s="115"/>
      <c r="CP50" s="115">
        <v>92</v>
      </c>
      <c r="CQ50" s="115">
        <v>48</v>
      </c>
      <c r="CR50" s="126">
        <v>4416</v>
      </c>
      <c r="CS50" s="53"/>
      <c r="CT50" s="53"/>
      <c r="CU50" s="53"/>
      <c r="CV50" s="53"/>
      <c r="CW50" s="53"/>
      <c r="CX50" s="53"/>
      <c r="CY50" s="53"/>
      <c r="CZ50" s="53"/>
      <c r="DA50" s="53"/>
      <c r="DB50" s="80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2"/>
      <c r="EK50" s="82"/>
      <c r="EL50" s="82"/>
      <c r="EM50" s="82"/>
      <c r="EN50" s="81"/>
      <c r="EO50" s="81"/>
      <c r="EP50" s="81"/>
      <c r="EQ50" s="81"/>
      <c r="ER50" s="81"/>
      <c r="ES50" s="81"/>
      <c r="ET50" s="81"/>
      <c r="EU50" s="81"/>
      <c r="EV50" s="81"/>
      <c r="EW50" s="81"/>
      <c r="EX50" s="81"/>
      <c r="EY50" s="81"/>
      <c r="EZ50" s="81"/>
      <c r="FA50" s="81"/>
      <c r="FB50" s="81"/>
      <c r="FC50" s="81"/>
      <c r="FD50" s="81"/>
      <c r="FE50" s="81"/>
      <c r="FF50" s="81"/>
      <c r="FG50" s="81"/>
      <c r="FH50" s="81"/>
      <c r="FI50" s="81"/>
      <c r="FJ50" s="81"/>
      <c r="FK50" s="81"/>
      <c r="FL50" s="81"/>
      <c r="FM50" s="81"/>
      <c r="FN50" s="81"/>
      <c r="FO50" s="81"/>
    </row>
    <row r="51" spans="1:171">
      <c r="A51" s="53">
        <v>67</v>
      </c>
      <c r="B51" s="53" t="s">
        <v>332</v>
      </c>
      <c r="C51" s="82" t="s">
        <v>333</v>
      </c>
      <c r="D51" s="133" t="s">
        <v>334</v>
      </c>
      <c r="E51" s="134"/>
      <c r="F51" s="82" t="s">
        <v>195</v>
      </c>
      <c r="G51" s="135">
        <v>2022</v>
      </c>
      <c r="H51" s="141">
        <v>77</v>
      </c>
      <c r="I51" s="142">
        <v>81.99</v>
      </c>
      <c r="J51" s="127">
        <v>0.93913891938041205</v>
      </c>
      <c r="K51" s="91">
        <v>350.4</v>
      </c>
      <c r="L51" s="92">
        <v>408</v>
      </c>
      <c r="M51" s="92">
        <v>288</v>
      </c>
      <c r="N51" s="65">
        <v>234</v>
      </c>
      <c r="O51" s="86">
        <v>4.7359999999999999E-2</v>
      </c>
      <c r="P51" s="176">
        <v>6.7519999999999997E-2</v>
      </c>
      <c r="Q51" s="141"/>
      <c r="R51" s="141"/>
      <c r="S51" s="141"/>
      <c r="T51" s="61">
        <v>166.666666666667</v>
      </c>
      <c r="U51" s="92"/>
      <c r="V51" s="92"/>
      <c r="W51" s="92"/>
      <c r="X51" s="92"/>
      <c r="Y51" s="92"/>
      <c r="Z51" s="141"/>
      <c r="AA51" s="141">
        <v>185</v>
      </c>
      <c r="AB51" s="141"/>
      <c r="AC51" s="141"/>
      <c r="AD51" s="141"/>
      <c r="AE51" s="65">
        <v>28</v>
      </c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55" t="b">
        <f>FALSE()</f>
        <v>0</v>
      </c>
      <c r="AQ51" s="141"/>
      <c r="AR51" s="141">
        <v>8</v>
      </c>
      <c r="AS51" s="144">
        <v>100000</v>
      </c>
      <c r="AT51" s="144"/>
      <c r="AU51" s="65">
        <v>491</v>
      </c>
      <c r="AV51" s="92">
        <v>309</v>
      </c>
      <c r="AW51" s="92">
        <v>182</v>
      </c>
      <c r="AX51" s="108">
        <v>0.62932790224032598</v>
      </c>
      <c r="AY51" s="141">
        <v>1820</v>
      </c>
      <c r="AZ51" s="141">
        <v>1450</v>
      </c>
      <c r="BA51" s="141">
        <v>140</v>
      </c>
      <c r="BB51" s="66">
        <v>369.46</v>
      </c>
      <c r="BC51" s="67">
        <v>135.76751117734699</v>
      </c>
      <c r="BD51" s="68">
        <v>0.36747553504397601</v>
      </c>
      <c r="BE51" s="69">
        <v>233.69248882265299</v>
      </c>
      <c r="BF51" s="141" t="s">
        <v>335</v>
      </c>
      <c r="BG51" s="141" t="s">
        <v>336</v>
      </c>
      <c r="BH51" s="70"/>
      <c r="BI51" s="70"/>
      <c r="BJ51" s="141"/>
      <c r="BK51" s="141"/>
      <c r="BL51" s="134" t="s">
        <v>239</v>
      </c>
      <c r="BM51" s="91">
        <v>166.98574338085501</v>
      </c>
      <c r="BN51" s="120">
        <v>221.91847561305701</v>
      </c>
      <c r="BO51" s="120">
        <v>339.44331296673499</v>
      </c>
      <c r="BP51" s="59"/>
      <c r="BQ51" s="71">
        <v>376.78207739307499</v>
      </c>
      <c r="BR51" s="120"/>
      <c r="BS51" s="115"/>
      <c r="BT51" s="115"/>
      <c r="BU51" s="115"/>
      <c r="BV51" s="115"/>
      <c r="BW51" s="115">
        <v>12</v>
      </c>
      <c r="BX51" s="115">
        <v>24</v>
      </c>
      <c r="BY51" s="120">
        <v>30</v>
      </c>
      <c r="BZ51" s="134"/>
      <c r="CA51" s="159" t="s">
        <v>337</v>
      </c>
      <c r="CB51" s="159" t="s">
        <v>197</v>
      </c>
      <c r="CC51" s="56" t="s">
        <v>198</v>
      </c>
      <c r="CD51" s="72" t="s">
        <v>338</v>
      </c>
      <c r="CE51" s="135" t="s">
        <v>200</v>
      </c>
      <c r="CF51" s="143"/>
      <c r="CG51" s="74">
        <v>78</v>
      </c>
      <c r="CH51" s="74">
        <v>3.67</v>
      </c>
      <c r="CI51" s="161">
        <v>286.26</v>
      </c>
      <c r="CJ51" s="74">
        <v>1.083</v>
      </c>
      <c r="CK51" s="161">
        <v>264.32132963988897</v>
      </c>
      <c r="CL51" s="161">
        <v>603.9</v>
      </c>
      <c r="CM51" s="74">
        <v>1.48E-3</v>
      </c>
      <c r="CN51" s="143">
        <v>2.1099999999999999E-3</v>
      </c>
      <c r="CO51" s="141">
        <v>1</v>
      </c>
      <c r="CP51" s="141">
        <v>96</v>
      </c>
      <c r="CQ51" s="141">
        <v>3</v>
      </c>
      <c r="CR51" s="145">
        <v>288</v>
      </c>
      <c r="CS51" s="79">
        <v>40.994999999999997</v>
      </c>
      <c r="CT51" s="79">
        <v>15.031499999999999</v>
      </c>
      <c r="CU51" s="79">
        <v>25.9635</v>
      </c>
      <c r="CV51" s="79">
        <v>68.325000000000003</v>
      </c>
      <c r="CW51" s="79">
        <v>0</v>
      </c>
      <c r="CX51" s="79">
        <v>8.1989999999999998</v>
      </c>
      <c r="CY51" s="79">
        <v>6.6047044499999998</v>
      </c>
      <c r="CZ51" s="79">
        <v>48.413591850000003</v>
      </c>
      <c r="DA51" s="79">
        <v>27.33</v>
      </c>
      <c r="DB51" s="85">
        <v>0.490554574949083</v>
      </c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2"/>
      <c r="EK51" s="82"/>
      <c r="EL51" s="82"/>
      <c r="EM51" s="82"/>
      <c r="EN51" s="81"/>
      <c r="EO51" s="81"/>
      <c r="EP51" s="81"/>
      <c r="EQ51" s="81"/>
      <c r="ER51" s="81"/>
      <c r="ES51" s="81"/>
      <c r="ET51" s="81"/>
      <c r="EU51" s="81"/>
      <c r="EV51" s="81"/>
      <c r="EW51" s="81"/>
      <c r="EX51" s="81"/>
      <c r="EY51" s="81"/>
      <c r="EZ51" s="81"/>
      <c r="FA51" s="81"/>
      <c r="FB51" s="81"/>
      <c r="FC51" s="81"/>
      <c r="FD51" s="81"/>
      <c r="FE51" s="81"/>
      <c r="FF51" s="81"/>
      <c r="FG51" s="81"/>
      <c r="FH51" s="81"/>
      <c r="FI51" s="81"/>
      <c r="FJ51" s="81"/>
      <c r="FK51" s="81"/>
      <c r="FL51" s="81"/>
      <c r="FM51" s="81"/>
      <c r="FN51" s="81"/>
      <c r="FO51" s="81"/>
    </row>
    <row r="52" spans="1:171">
      <c r="A52" s="53">
        <v>67</v>
      </c>
      <c r="B52" s="53" t="s">
        <v>339</v>
      </c>
      <c r="C52" s="82" t="s">
        <v>333</v>
      </c>
      <c r="D52" s="133" t="s">
        <v>340</v>
      </c>
      <c r="E52" s="134"/>
      <c r="F52" s="82" t="s">
        <v>195</v>
      </c>
      <c r="G52" s="135">
        <v>2023</v>
      </c>
      <c r="H52" s="141">
        <v>77</v>
      </c>
      <c r="I52" s="142">
        <v>81.99</v>
      </c>
      <c r="J52" s="127">
        <v>0.93913891938041205</v>
      </c>
      <c r="K52" s="91">
        <v>350.4</v>
      </c>
      <c r="L52" s="92">
        <v>408</v>
      </c>
      <c r="M52" s="92">
        <v>288</v>
      </c>
      <c r="N52" s="65">
        <v>234</v>
      </c>
      <c r="O52" s="86">
        <v>4.7359999999999999E-2</v>
      </c>
      <c r="P52" s="176">
        <v>6.7519999999999997E-2</v>
      </c>
      <c r="Q52" s="141"/>
      <c r="R52" s="141"/>
      <c r="S52" s="141"/>
      <c r="T52" s="61">
        <v>166.666666666667</v>
      </c>
      <c r="U52" s="92"/>
      <c r="V52" s="92"/>
      <c r="W52" s="92"/>
      <c r="X52" s="92"/>
      <c r="Y52" s="92"/>
      <c r="Z52" s="141"/>
      <c r="AA52" s="141">
        <v>170</v>
      </c>
      <c r="AB52" s="141"/>
      <c r="AC52" s="141"/>
      <c r="AD52" s="141"/>
      <c r="AE52" s="65">
        <v>28</v>
      </c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55" t="b">
        <f>FALSE()</f>
        <v>0</v>
      </c>
      <c r="AQ52" s="141"/>
      <c r="AR52" s="141">
        <v>8</v>
      </c>
      <c r="AS52" s="144">
        <v>100000</v>
      </c>
      <c r="AT52" s="144"/>
      <c r="AU52" s="65">
        <v>491</v>
      </c>
      <c r="AV52" s="92">
        <v>309</v>
      </c>
      <c r="AW52" s="92">
        <v>182</v>
      </c>
      <c r="AX52" s="108">
        <v>0.62932790224032598</v>
      </c>
      <c r="AY52" s="141">
        <v>1820</v>
      </c>
      <c r="AZ52" s="141">
        <v>1450</v>
      </c>
      <c r="BA52" s="141">
        <v>140</v>
      </c>
      <c r="BB52" s="66">
        <v>369.46</v>
      </c>
      <c r="BC52" s="67">
        <v>135.76751117734699</v>
      </c>
      <c r="BD52" s="68">
        <v>0.36747553504397601</v>
      </c>
      <c r="BE52" s="69">
        <v>233.69248882265299</v>
      </c>
      <c r="BF52" s="141" t="s">
        <v>335</v>
      </c>
      <c r="BG52" s="141" t="s">
        <v>336</v>
      </c>
      <c r="BH52" s="70"/>
      <c r="BI52" s="70"/>
      <c r="BJ52" s="141"/>
      <c r="BK52" s="141"/>
      <c r="BL52" s="134" t="s">
        <v>239</v>
      </c>
      <c r="BM52" s="91">
        <v>166.98574338085501</v>
      </c>
      <c r="BN52" s="120">
        <v>221.91847561305701</v>
      </c>
      <c r="BO52" s="120">
        <v>339.44331296673499</v>
      </c>
      <c r="BP52" s="59"/>
      <c r="BQ52" s="71">
        <v>346.23217922606898</v>
      </c>
      <c r="BR52" s="120"/>
      <c r="BS52" s="115"/>
      <c r="BT52" s="115"/>
      <c r="BU52" s="115"/>
      <c r="BV52" s="115"/>
      <c r="BW52" s="115">
        <v>12</v>
      </c>
      <c r="BX52" s="115">
        <v>24</v>
      </c>
      <c r="BY52" s="120">
        <v>30</v>
      </c>
      <c r="BZ52" s="134"/>
      <c r="CA52" s="159" t="s">
        <v>337</v>
      </c>
      <c r="CB52" s="159" t="s">
        <v>197</v>
      </c>
      <c r="CC52" s="56" t="s">
        <v>198</v>
      </c>
      <c r="CD52" s="72" t="s">
        <v>338</v>
      </c>
      <c r="CE52" s="135" t="s">
        <v>200</v>
      </c>
      <c r="CF52" s="143"/>
      <c r="CG52" s="74">
        <v>78</v>
      </c>
      <c r="CH52" s="74">
        <v>3.67</v>
      </c>
      <c r="CI52" s="161">
        <v>286.26</v>
      </c>
      <c r="CJ52" s="74">
        <v>1.083</v>
      </c>
      <c r="CK52" s="161">
        <v>264.32132963988897</v>
      </c>
      <c r="CL52" s="161">
        <v>603.9</v>
      </c>
      <c r="CM52" s="74">
        <v>1.48E-3</v>
      </c>
      <c r="CN52" s="143">
        <v>2.1099999999999999E-3</v>
      </c>
      <c r="CO52" s="141">
        <v>1</v>
      </c>
      <c r="CP52" s="141">
        <v>96</v>
      </c>
      <c r="CQ52" s="141">
        <v>3</v>
      </c>
      <c r="CR52" s="145">
        <v>288</v>
      </c>
      <c r="CS52" s="79">
        <v>40.994999999999997</v>
      </c>
      <c r="CT52" s="79">
        <v>15.031499999999999</v>
      </c>
      <c r="CU52" s="79">
        <v>25.9635</v>
      </c>
      <c r="CV52" s="79">
        <v>68.325000000000003</v>
      </c>
      <c r="CW52" s="79">
        <v>0</v>
      </c>
      <c r="CX52" s="79">
        <v>8.1989999999999998</v>
      </c>
      <c r="CY52" s="79">
        <v>6.6047044499999998</v>
      </c>
      <c r="CZ52" s="79">
        <v>48.413591850000003</v>
      </c>
      <c r="DA52" s="79">
        <v>27.33</v>
      </c>
      <c r="DB52" s="85">
        <v>0.490554574949083</v>
      </c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  <c r="EJ52" s="82"/>
      <c r="EK52" s="82"/>
      <c r="EL52" s="82"/>
      <c r="EM52" s="82"/>
      <c r="EN52" s="81"/>
      <c r="EO52" s="81"/>
      <c r="EP52" s="81"/>
      <c r="EQ52" s="81"/>
      <c r="ER52" s="81"/>
      <c r="ES52" s="81"/>
      <c r="ET52" s="81"/>
      <c r="EU52" s="81"/>
      <c r="EV52" s="81"/>
      <c r="EW52" s="81"/>
      <c r="EX52" s="81"/>
      <c r="EY52" s="81"/>
      <c r="EZ52" s="81"/>
      <c r="FA52" s="81"/>
      <c r="FB52" s="81"/>
      <c r="FC52" s="81"/>
      <c r="FD52" s="81"/>
      <c r="FE52" s="81"/>
      <c r="FF52" s="81"/>
      <c r="FG52" s="81"/>
      <c r="FH52" s="81"/>
      <c r="FI52" s="81"/>
      <c r="FJ52" s="81"/>
      <c r="FK52" s="81"/>
      <c r="FL52" s="81"/>
      <c r="FM52" s="81"/>
      <c r="FN52" s="81"/>
      <c r="FO52" s="81"/>
    </row>
    <row r="53" spans="1:171">
      <c r="A53" s="53">
        <v>71</v>
      </c>
      <c r="B53" s="53" t="s">
        <v>341</v>
      </c>
      <c r="C53" s="82" t="s">
        <v>333</v>
      </c>
      <c r="D53" s="133" t="s">
        <v>342</v>
      </c>
      <c r="E53" s="65" t="s">
        <v>343</v>
      </c>
      <c r="F53" s="82" t="s">
        <v>195</v>
      </c>
      <c r="G53" s="135">
        <v>2021</v>
      </c>
      <c r="H53" s="141">
        <v>58</v>
      </c>
      <c r="I53" s="83">
        <v>62</v>
      </c>
      <c r="J53" s="127">
        <v>0.93548387096774199</v>
      </c>
      <c r="K53" s="102">
        <v>396</v>
      </c>
      <c r="L53" s="92">
        <v>453.6</v>
      </c>
      <c r="M53" s="92">
        <v>270</v>
      </c>
      <c r="N53" s="65">
        <v>156</v>
      </c>
      <c r="O53" s="86">
        <v>7.9920000000000005E-2</v>
      </c>
      <c r="P53" s="176">
        <v>0.11394</v>
      </c>
      <c r="Q53" s="143"/>
      <c r="R53" s="143"/>
      <c r="S53" s="143"/>
      <c r="T53" s="61">
        <v>166.666666666667</v>
      </c>
      <c r="U53" s="92"/>
      <c r="V53" s="92"/>
      <c r="W53" s="92"/>
      <c r="X53" s="61">
        <v>77.7777777777778</v>
      </c>
      <c r="Y53" s="92"/>
      <c r="Z53" s="141"/>
      <c r="AA53" s="141">
        <v>100</v>
      </c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55" t="b">
        <f>FALSE()</f>
        <v>0</v>
      </c>
      <c r="AQ53" s="141"/>
      <c r="AR53" s="141">
        <v>8</v>
      </c>
      <c r="AS53" s="144">
        <v>100000</v>
      </c>
      <c r="AT53" s="144"/>
      <c r="AU53" s="65">
        <v>376</v>
      </c>
      <c r="AV53" s="91">
        <v>237.816</v>
      </c>
      <c r="AW53" s="92">
        <v>138.184</v>
      </c>
      <c r="AX53" s="108">
        <v>0.63248936170212799</v>
      </c>
      <c r="AY53" s="141">
        <v>1317</v>
      </c>
      <c r="AZ53" s="141">
        <v>1302</v>
      </c>
      <c r="BA53" s="141">
        <v>128.5</v>
      </c>
      <c r="BB53" s="66">
        <v>220.34331900000001</v>
      </c>
      <c r="BC53" s="67">
        <v>102.66600430534901</v>
      </c>
      <c r="BD53" s="68">
        <v>0.46593654289717101</v>
      </c>
      <c r="BE53" s="69">
        <v>117.677314694651</v>
      </c>
      <c r="BF53" s="141" t="s">
        <v>335</v>
      </c>
      <c r="BG53" s="141" t="s">
        <v>336</v>
      </c>
      <c r="BH53" s="70"/>
      <c r="BI53" s="70"/>
      <c r="BJ53" s="141"/>
      <c r="BK53" s="141"/>
      <c r="BL53" s="134"/>
      <c r="BM53" s="66">
        <v>164.89361702127701</v>
      </c>
      <c r="BN53" s="66">
        <v>281.379078255602</v>
      </c>
      <c r="BO53" s="66">
        <v>443.26241134751803</v>
      </c>
      <c r="BP53" s="66">
        <v>206.855791962175</v>
      </c>
      <c r="BQ53" s="66">
        <v>265.95744680851101</v>
      </c>
      <c r="BR53" s="66">
        <v>756.39537165484296</v>
      </c>
      <c r="BS53" s="66">
        <v>352.98450677225998</v>
      </c>
      <c r="BT53" s="120"/>
      <c r="BU53" s="120"/>
      <c r="BV53" s="120"/>
      <c r="BW53" s="120">
        <v>9</v>
      </c>
      <c r="BX53" s="120">
        <v>24</v>
      </c>
      <c r="BY53" s="120">
        <v>30</v>
      </c>
      <c r="BZ53" s="134"/>
      <c r="CA53" s="159" t="s">
        <v>337</v>
      </c>
      <c r="CB53" s="159" t="s">
        <v>197</v>
      </c>
      <c r="CC53" s="56" t="s">
        <v>198</v>
      </c>
      <c r="CD53" s="72" t="s">
        <v>338</v>
      </c>
      <c r="CE53" s="135" t="s">
        <v>200</v>
      </c>
      <c r="CF53" s="143"/>
      <c r="CG53" s="74">
        <v>78</v>
      </c>
      <c r="CH53" s="74">
        <v>3.67</v>
      </c>
      <c r="CI53" s="161">
        <v>286.26</v>
      </c>
      <c r="CJ53" s="74">
        <v>1.083</v>
      </c>
      <c r="CK53" s="161">
        <v>264.32132963988897</v>
      </c>
      <c r="CL53" s="161">
        <v>603.9</v>
      </c>
      <c r="CM53" s="74">
        <v>1.48E-3</v>
      </c>
      <c r="CN53" s="143">
        <v>2.1099999999999999E-3</v>
      </c>
      <c r="CO53" s="141">
        <v>1</v>
      </c>
      <c r="CP53" s="141">
        <v>108</v>
      </c>
      <c r="CQ53" s="141">
        <v>2</v>
      </c>
      <c r="CR53" s="145">
        <v>216</v>
      </c>
      <c r="CS53" s="79">
        <v>31</v>
      </c>
      <c r="CT53" s="79">
        <v>11.366666666666699</v>
      </c>
      <c r="CU53" s="79">
        <v>19.633333333333301</v>
      </c>
      <c r="CV53" s="79">
        <v>51.6666666666667</v>
      </c>
      <c r="CW53" s="79">
        <v>0</v>
      </c>
      <c r="CX53" s="79">
        <v>6.2</v>
      </c>
      <c r="CY53" s="79">
        <v>4.9944100000000002</v>
      </c>
      <c r="CZ53" s="79">
        <v>36.609863333333301</v>
      </c>
      <c r="DA53" s="79">
        <v>20.6666666666667</v>
      </c>
      <c r="DB53" s="85">
        <v>0.484408528368794</v>
      </c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  <c r="EG53" s="81"/>
      <c r="EH53" s="81"/>
      <c r="EI53" s="81"/>
      <c r="EJ53" s="82"/>
      <c r="EK53" s="82"/>
      <c r="EL53" s="82"/>
      <c r="EM53" s="82"/>
      <c r="EN53" s="81"/>
      <c r="EO53" s="81"/>
      <c r="EP53" s="81"/>
      <c r="EQ53" s="81"/>
      <c r="ER53" s="81"/>
      <c r="ES53" s="81"/>
      <c r="ET53" s="81"/>
      <c r="EU53" s="81"/>
      <c r="EV53" s="81"/>
      <c r="EW53" s="81"/>
      <c r="EX53" s="81"/>
      <c r="EY53" s="81"/>
      <c r="EZ53" s="81"/>
      <c r="FA53" s="81"/>
      <c r="FB53" s="81"/>
      <c r="FC53" s="81"/>
      <c r="FD53" s="81"/>
      <c r="FE53" s="153" t="b">
        <f>TRUE()</f>
        <v>1</v>
      </c>
      <c r="FF53" s="81"/>
      <c r="FG53" s="81"/>
      <c r="FH53" s="81"/>
      <c r="FI53" s="81"/>
      <c r="FJ53" s="81"/>
      <c r="FK53" s="81"/>
      <c r="FL53" s="81"/>
      <c r="FM53" s="81"/>
      <c r="FN53" s="81"/>
      <c r="FO53" s="81"/>
    </row>
    <row r="54" spans="1:171">
      <c r="A54" s="53">
        <v>67</v>
      </c>
      <c r="B54" s="53" t="s">
        <v>344</v>
      </c>
      <c r="C54" s="82" t="s">
        <v>333</v>
      </c>
      <c r="D54" s="133" t="s">
        <v>345</v>
      </c>
      <c r="E54" s="65" t="s">
        <v>346</v>
      </c>
      <c r="F54" s="82" t="s">
        <v>195</v>
      </c>
      <c r="G54" s="135">
        <v>2021</v>
      </c>
      <c r="H54" s="141">
        <v>77</v>
      </c>
      <c r="I54" s="83">
        <v>82</v>
      </c>
      <c r="J54" s="127">
        <v>0.93902439024390205</v>
      </c>
      <c r="K54" s="91">
        <v>352</v>
      </c>
      <c r="L54" s="92">
        <v>408</v>
      </c>
      <c r="M54" s="92">
        <v>288</v>
      </c>
      <c r="N54" s="65">
        <v>234</v>
      </c>
      <c r="O54" s="86">
        <v>4.7359999999999999E-2</v>
      </c>
      <c r="P54" s="176">
        <v>6.7519999999999997E-2</v>
      </c>
      <c r="Q54" s="141"/>
      <c r="R54" s="141"/>
      <c r="S54" s="141"/>
      <c r="T54" s="61">
        <v>166.666666666667</v>
      </c>
      <c r="U54" s="92"/>
      <c r="V54" s="92"/>
      <c r="W54" s="92"/>
      <c r="X54" s="92"/>
      <c r="Y54" s="92"/>
      <c r="Z54" s="141"/>
      <c r="AA54" s="141"/>
      <c r="AB54" s="141"/>
      <c r="AC54" s="141"/>
      <c r="AD54" s="141"/>
      <c r="AE54" s="65">
        <v>28</v>
      </c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55" t="b">
        <f>FALSE()</f>
        <v>0</v>
      </c>
      <c r="AQ54" s="141"/>
      <c r="AR54" s="141">
        <v>8</v>
      </c>
      <c r="AS54" s="144">
        <v>100000</v>
      </c>
      <c r="AT54" s="144"/>
      <c r="AU54" s="65">
        <v>491</v>
      </c>
      <c r="AV54" s="92">
        <v>309.024</v>
      </c>
      <c r="AW54" s="92">
        <v>181.976</v>
      </c>
      <c r="AX54" s="108">
        <v>0.629376782077393</v>
      </c>
      <c r="AY54" s="141">
        <v>1820</v>
      </c>
      <c r="AZ54" s="141">
        <v>1450</v>
      </c>
      <c r="BA54" s="141">
        <v>140</v>
      </c>
      <c r="BB54" s="66">
        <v>369.46</v>
      </c>
      <c r="BC54" s="67">
        <v>135.7840702103</v>
      </c>
      <c r="BD54" s="68">
        <v>0.36752035459941501</v>
      </c>
      <c r="BE54" s="69">
        <v>233.67592978970001</v>
      </c>
      <c r="BF54" s="141" t="s">
        <v>335</v>
      </c>
      <c r="BG54" s="141" t="s">
        <v>336</v>
      </c>
      <c r="BH54" s="70"/>
      <c r="BI54" s="70"/>
      <c r="BJ54" s="141"/>
      <c r="BK54" s="141"/>
      <c r="BL54" s="134" t="s">
        <v>239</v>
      </c>
      <c r="BM54" s="91">
        <v>167.00610997963301</v>
      </c>
      <c r="BN54" s="120">
        <v>221.94554214258699</v>
      </c>
      <c r="BO54" s="120">
        <v>339.44331296673499</v>
      </c>
      <c r="BP54" s="59"/>
      <c r="BQ54" s="71"/>
      <c r="BR54" s="120"/>
      <c r="BS54" s="115"/>
      <c r="BT54" s="115"/>
      <c r="BU54" s="115"/>
      <c r="BV54" s="115"/>
      <c r="BW54" s="120">
        <v>12</v>
      </c>
      <c r="BX54" s="120">
        <v>24</v>
      </c>
      <c r="BY54" s="120">
        <v>30</v>
      </c>
      <c r="BZ54" s="134"/>
      <c r="CA54" s="159" t="s">
        <v>337</v>
      </c>
      <c r="CB54" s="159" t="s">
        <v>197</v>
      </c>
      <c r="CC54" s="56" t="s">
        <v>198</v>
      </c>
      <c r="CD54" s="72" t="s">
        <v>338</v>
      </c>
      <c r="CE54" s="135" t="s">
        <v>200</v>
      </c>
      <c r="CF54" s="143"/>
      <c r="CG54" s="74">
        <v>78</v>
      </c>
      <c r="CH54" s="74">
        <v>3.67</v>
      </c>
      <c r="CI54" s="161">
        <v>286.26</v>
      </c>
      <c r="CJ54" s="74">
        <v>1.083</v>
      </c>
      <c r="CK54" s="161">
        <v>264.32132963988897</v>
      </c>
      <c r="CL54" s="161">
        <v>603.9</v>
      </c>
      <c r="CM54" s="74">
        <v>1.48E-3</v>
      </c>
      <c r="CN54" s="143">
        <v>2.1099999999999999E-3</v>
      </c>
      <c r="CO54" s="141">
        <v>1</v>
      </c>
      <c r="CP54" s="141">
        <v>96</v>
      </c>
      <c r="CQ54" s="141">
        <v>3</v>
      </c>
      <c r="CR54" s="145">
        <v>288</v>
      </c>
      <c r="CS54" s="79">
        <v>41</v>
      </c>
      <c r="CT54" s="79">
        <v>15.033333333333299</v>
      </c>
      <c r="CU54" s="79">
        <v>25.966666666666701</v>
      </c>
      <c r="CV54" s="79">
        <v>68.3333333333333</v>
      </c>
      <c r="CW54" s="79">
        <v>0</v>
      </c>
      <c r="CX54" s="79">
        <v>8.1999999999999993</v>
      </c>
      <c r="CY54" s="79">
        <v>6.6055099999999998</v>
      </c>
      <c r="CZ54" s="79">
        <v>48.419496666666703</v>
      </c>
      <c r="DA54" s="79">
        <v>27.3333333333333</v>
      </c>
      <c r="DB54" s="85">
        <v>0.49061440597420197</v>
      </c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2"/>
      <c r="EK54" s="82"/>
      <c r="EL54" s="82"/>
      <c r="EM54" s="82"/>
      <c r="EN54" s="81"/>
      <c r="EO54" s="81"/>
      <c r="EP54" s="81"/>
      <c r="EQ54" s="81"/>
      <c r="ER54" s="81"/>
      <c r="ES54" s="81"/>
      <c r="ET54" s="81"/>
      <c r="EU54" s="81"/>
      <c r="EV54" s="81"/>
      <c r="EW54" s="81"/>
      <c r="EX54" s="81"/>
      <c r="EY54" s="81"/>
      <c r="EZ54" s="81"/>
      <c r="FA54" s="81"/>
      <c r="FB54" s="81"/>
      <c r="FC54" s="81"/>
      <c r="FD54" s="81"/>
      <c r="FE54" s="153" t="b">
        <f>TRUE()</f>
        <v>1</v>
      </c>
      <c r="FF54" s="81"/>
      <c r="FG54" s="81"/>
      <c r="FH54" s="81"/>
      <c r="FI54" s="81"/>
      <c r="FJ54" s="81"/>
      <c r="FK54" s="81"/>
      <c r="FL54" s="81"/>
      <c r="FM54" s="81"/>
      <c r="FN54" s="81"/>
      <c r="FO54" s="81"/>
    </row>
    <row r="55" spans="1:171">
      <c r="A55" s="53">
        <v>58</v>
      </c>
      <c r="B55" s="53" t="s">
        <v>347</v>
      </c>
      <c r="C55" s="82" t="s">
        <v>333</v>
      </c>
      <c r="D55" s="133" t="s">
        <v>348</v>
      </c>
      <c r="E55" s="65" t="s">
        <v>346</v>
      </c>
      <c r="F55" s="82" t="s">
        <v>195</v>
      </c>
      <c r="G55" s="135">
        <v>2023</v>
      </c>
      <c r="H55" s="141"/>
      <c r="I55" s="83">
        <v>82</v>
      </c>
      <c r="J55" s="127"/>
      <c r="K55" s="91">
        <v>352</v>
      </c>
      <c r="L55" s="92">
        <v>408</v>
      </c>
      <c r="M55" s="92">
        <v>288</v>
      </c>
      <c r="N55" s="65">
        <v>234</v>
      </c>
      <c r="O55" s="141"/>
      <c r="P55" s="141"/>
      <c r="Q55" s="141"/>
      <c r="R55" s="141"/>
      <c r="S55" s="141"/>
      <c r="T55" s="61">
        <v>277.777777777778</v>
      </c>
      <c r="U55" s="92"/>
      <c r="V55" s="92"/>
      <c r="W55" s="92"/>
      <c r="X55" s="92"/>
      <c r="Y55" s="92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55" t="b">
        <f>FALSE()</f>
        <v>0</v>
      </c>
      <c r="AQ55" s="141"/>
      <c r="AR55" s="141"/>
      <c r="AS55" s="144"/>
      <c r="AT55" s="144"/>
      <c r="AU55" s="65">
        <v>491</v>
      </c>
      <c r="AV55" s="92">
        <v>309.024</v>
      </c>
      <c r="AW55" s="92">
        <v>181.976</v>
      </c>
      <c r="AX55" s="108">
        <v>0.629376782077393</v>
      </c>
      <c r="AY55" s="141">
        <v>1820</v>
      </c>
      <c r="AZ55" s="141">
        <v>1450</v>
      </c>
      <c r="BA55" s="141">
        <v>140</v>
      </c>
      <c r="BB55" s="66">
        <v>369</v>
      </c>
      <c r="BC55" s="67">
        <v>135.7840702103</v>
      </c>
      <c r="BD55" s="68">
        <v>0.36797851005501298</v>
      </c>
      <c r="BE55" s="69">
        <v>233.2159297897</v>
      </c>
      <c r="BF55" s="141" t="s">
        <v>335</v>
      </c>
      <c r="BG55" s="141" t="s">
        <v>336</v>
      </c>
      <c r="BH55" s="70"/>
      <c r="BI55" s="70"/>
      <c r="BJ55" s="141"/>
      <c r="BK55" s="141"/>
      <c r="BL55" s="65" t="s">
        <v>239</v>
      </c>
      <c r="BM55" s="104">
        <v>161.69999999999999</v>
      </c>
      <c r="BN55" s="120"/>
      <c r="BO55" s="120"/>
      <c r="BP55" s="59"/>
      <c r="BQ55" s="71"/>
      <c r="BR55" s="120"/>
      <c r="BS55" s="115"/>
      <c r="BT55" s="115"/>
      <c r="BU55" s="115"/>
      <c r="BV55" s="115"/>
      <c r="BW55" s="115">
        <v>12</v>
      </c>
      <c r="BX55" s="120">
        <v>24</v>
      </c>
      <c r="BY55" s="120">
        <v>30</v>
      </c>
      <c r="BZ55" s="134"/>
      <c r="CA55" s="159" t="s">
        <v>337</v>
      </c>
      <c r="CB55" s="159" t="s">
        <v>197</v>
      </c>
      <c r="CC55" s="56" t="s">
        <v>198</v>
      </c>
      <c r="CD55" s="72" t="s">
        <v>338</v>
      </c>
      <c r="CE55" s="135" t="s">
        <v>200</v>
      </c>
      <c r="CF55" s="143"/>
      <c r="CG55" s="74">
        <v>78</v>
      </c>
      <c r="CH55" s="74">
        <v>3.67</v>
      </c>
      <c r="CI55" s="161">
        <v>286.26</v>
      </c>
      <c r="CJ55" s="74">
        <v>1.083</v>
      </c>
      <c r="CK55" s="161">
        <v>264.32132963988897</v>
      </c>
      <c r="CL55" s="161">
        <v>603.9</v>
      </c>
      <c r="CM55" s="74">
        <v>1.48E-3</v>
      </c>
      <c r="CN55" s="143">
        <v>2.1099999999999999E-3</v>
      </c>
      <c r="CO55" s="141">
        <v>1</v>
      </c>
      <c r="CP55" s="141">
        <v>96</v>
      </c>
      <c r="CQ55" s="141">
        <v>3</v>
      </c>
      <c r="CR55" s="145">
        <v>288</v>
      </c>
      <c r="CS55" s="79">
        <v>41</v>
      </c>
      <c r="CT55" s="79">
        <v>15.033333333333299</v>
      </c>
      <c r="CU55" s="79">
        <v>25.966666666666701</v>
      </c>
      <c r="CV55" s="79">
        <v>68.3333333333333</v>
      </c>
      <c r="CW55" s="79">
        <v>0</v>
      </c>
      <c r="CX55" s="79">
        <v>8.1999999999999993</v>
      </c>
      <c r="CY55" s="79">
        <v>6.6055099999999998</v>
      </c>
      <c r="CZ55" s="79">
        <v>48.419496666666703</v>
      </c>
      <c r="DA55" s="79">
        <v>27.3333333333333</v>
      </c>
      <c r="DB55" s="85">
        <v>0.49061440597420197</v>
      </c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2"/>
      <c r="EK55" s="82"/>
      <c r="EL55" s="82"/>
      <c r="EM55" s="82"/>
      <c r="EN55" s="81"/>
      <c r="EO55" s="81"/>
      <c r="EP55" s="81"/>
      <c r="EQ55" s="81"/>
      <c r="ER55" s="81"/>
      <c r="ES55" s="81"/>
      <c r="ET55" s="81"/>
      <c r="EU55" s="81"/>
      <c r="EV55" s="81"/>
      <c r="EW55" s="81"/>
      <c r="EX55" s="81"/>
      <c r="EY55" s="81"/>
      <c r="EZ55" s="81"/>
      <c r="FA55" s="81"/>
      <c r="FB55" s="81"/>
      <c r="FC55" s="81"/>
      <c r="FD55" s="81"/>
      <c r="FE55" s="153" t="b">
        <f>TRUE()</f>
        <v>1</v>
      </c>
      <c r="FF55" s="81"/>
      <c r="FG55" s="81"/>
      <c r="FH55" s="81"/>
      <c r="FI55" s="81"/>
      <c r="FJ55" s="81"/>
      <c r="FK55" s="81"/>
      <c r="FL55" s="81"/>
      <c r="FM55" s="81"/>
      <c r="FN55" s="81"/>
      <c r="FO55" s="81"/>
    </row>
    <row r="56" spans="1:171">
      <c r="A56" s="53">
        <v>58</v>
      </c>
      <c r="B56" s="53" t="s">
        <v>349</v>
      </c>
      <c r="C56" s="82" t="s">
        <v>333</v>
      </c>
      <c r="D56" s="133" t="s">
        <v>350</v>
      </c>
      <c r="E56" s="65" t="s">
        <v>343</v>
      </c>
      <c r="F56" s="82" t="s">
        <v>195</v>
      </c>
      <c r="G56" s="135">
        <v>2023</v>
      </c>
      <c r="H56" s="141"/>
      <c r="I56" s="83">
        <v>62</v>
      </c>
      <c r="J56" s="127"/>
      <c r="K56" s="91">
        <v>396</v>
      </c>
      <c r="L56" s="92">
        <v>454</v>
      </c>
      <c r="M56" s="92">
        <v>270</v>
      </c>
      <c r="N56" s="65">
        <v>156</v>
      </c>
      <c r="O56" s="141"/>
      <c r="P56" s="141"/>
      <c r="Q56" s="141"/>
      <c r="R56" s="141"/>
      <c r="S56" s="141"/>
      <c r="T56" s="61">
        <v>166.666666666667</v>
      </c>
      <c r="U56" s="92"/>
      <c r="V56" s="92"/>
      <c r="W56" s="92"/>
      <c r="X56" s="92"/>
      <c r="Y56" s="92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55" t="b">
        <f>FALSE()</f>
        <v>0</v>
      </c>
      <c r="AQ56" s="141"/>
      <c r="AR56" s="141"/>
      <c r="AS56" s="144"/>
      <c r="AT56" s="144"/>
      <c r="AU56" s="65">
        <v>376</v>
      </c>
      <c r="AV56" s="91">
        <v>237.816</v>
      </c>
      <c r="AW56" s="92">
        <v>138.184</v>
      </c>
      <c r="AX56" s="108">
        <v>0.63248936170212799</v>
      </c>
      <c r="AY56" s="141">
        <v>1317</v>
      </c>
      <c r="AZ56" s="141">
        <v>1302</v>
      </c>
      <c r="BA56" s="141">
        <v>128.5</v>
      </c>
      <c r="BB56" s="66">
        <v>220</v>
      </c>
      <c r="BC56" s="67">
        <v>102.66600430534901</v>
      </c>
      <c r="BD56" s="68">
        <v>0.46666365593340298</v>
      </c>
      <c r="BE56" s="69">
        <v>117.33399569465099</v>
      </c>
      <c r="BF56" s="141" t="s">
        <v>335</v>
      </c>
      <c r="BG56" s="141" t="s">
        <v>336</v>
      </c>
      <c r="BH56" s="70"/>
      <c r="BI56" s="70"/>
      <c r="BJ56" s="141"/>
      <c r="BK56" s="141"/>
      <c r="BL56" s="65" t="s">
        <v>239</v>
      </c>
      <c r="BM56" s="104">
        <v>164.6</v>
      </c>
      <c r="BN56" s="120"/>
      <c r="BO56" s="120"/>
      <c r="BP56" s="59"/>
      <c r="BQ56" s="71"/>
      <c r="BR56" s="120"/>
      <c r="BS56" s="115"/>
      <c r="BT56" s="115"/>
      <c r="BU56" s="115"/>
      <c r="BV56" s="115"/>
      <c r="BW56" s="115">
        <v>9</v>
      </c>
      <c r="BX56" s="120">
        <v>24</v>
      </c>
      <c r="BY56" s="120">
        <v>30</v>
      </c>
      <c r="BZ56" s="134"/>
      <c r="CA56" s="159" t="s">
        <v>337</v>
      </c>
      <c r="CB56" s="159" t="s">
        <v>197</v>
      </c>
      <c r="CC56" s="56" t="s">
        <v>198</v>
      </c>
      <c r="CD56" s="72" t="s">
        <v>338</v>
      </c>
      <c r="CE56" s="135" t="s">
        <v>200</v>
      </c>
      <c r="CF56" s="143"/>
      <c r="CG56" s="74">
        <v>78</v>
      </c>
      <c r="CH56" s="74">
        <v>3.67</v>
      </c>
      <c r="CI56" s="161">
        <v>286.26</v>
      </c>
      <c r="CJ56" s="74">
        <v>1.083</v>
      </c>
      <c r="CK56" s="161">
        <v>264.32132963988897</v>
      </c>
      <c r="CL56" s="161">
        <v>603.9</v>
      </c>
      <c r="CM56" s="74">
        <v>1.48E-3</v>
      </c>
      <c r="CN56" s="143">
        <v>2.1099999999999999E-3</v>
      </c>
      <c r="CO56" s="141">
        <v>1</v>
      </c>
      <c r="CP56" s="141">
        <v>108</v>
      </c>
      <c r="CQ56" s="141">
        <v>2</v>
      </c>
      <c r="CR56" s="145">
        <v>216</v>
      </c>
      <c r="CS56" s="79">
        <v>31</v>
      </c>
      <c r="CT56" s="79">
        <v>11.366666666666699</v>
      </c>
      <c r="CU56" s="79">
        <v>19.633333333333301</v>
      </c>
      <c r="CV56" s="79">
        <v>51.6666666666667</v>
      </c>
      <c r="CW56" s="79">
        <v>0</v>
      </c>
      <c r="CX56" s="79">
        <v>6.2</v>
      </c>
      <c r="CY56" s="79">
        <v>4.9944100000000002</v>
      </c>
      <c r="CZ56" s="79">
        <v>36.609863333333301</v>
      </c>
      <c r="DA56" s="79">
        <v>20.6666666666667</v>
      </c>
      <c r="DB56" s="85">
        <v>0.484408528368794</v>
      </c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2"/>
      <c r="EK56" s="82"/>
      <c r="EL56" s="82"/>
      <c r="EM56" s="82"/>
      <c r="EN56" s="81"/>
      <c r="EO56" s="81"/>
      <c r="EP56" s="81"/>
      <c r="EQ56" s="81"/>
      <c r="ER56" s="81"/>
      <c r="ES56" s="81"/>
      <c r="ET56" s="81"/>
      <c r="EU56" s="81"/>
      <c r="EV56" s="81"/>
      <c r="EW56" s="81"/>
      <c r="EX56" s="81"/>
      <c r="EY56" s="81"/>
      <c r="EZ56" s="81"/>
      <c r="FA56" s="81"/>
      <c r="FB56" s="81"/>
      <c r="FC56" s="81"/>
      <c r="FD56" s="81"/>
      <c r="FE56" s="153" t="b">
        <f>TRUE()</f>
        <v>1</v>
      </c>
      <c r="FF56" s="81"/>
      <c r="FG56" s="81"/>
      <c r="FH56" s="81"/>
      <c r="FI56" s="81"/>
      <c r="FJ56" s="81"/>
      <c r="FK56" s="81"/>
      <c r="FL56" s="81"/>
      <c r="FM56" s="81"/>
      <c r="FN56" s="81"/>
      <c r="FO56" s="81"/>
    </row>
    <row r="57" spans="1:171">
      <c r="A57" s="53">
        <v>58</v>
      </c>
      <c r="B57" s="53" t="s">
        <v>351</v>
      </c>
      <c r="C57" s="82" t="s">
        <v>333</v>
      </c>
      <c r="D57" s="133" t="s">
        <v>352</v>
      </c>
      <c r="E57" s="65" t="s">
        <v>346</v>
      </c>
      <c r="F57" s="82" t="s">
        <v>195</v>
      </c>
      <c r="G57" s="135">
        <v>2023</v>
      </c>
      <c r="H57" s="141"/>
      <c r="I57" s="83">
        <v>82</v>
      </c>
      <c r="J57" s="127"/>
      <c r="K57" s="91">
        <v>352</v>
      </c>
      <c r="L57" s="92">
        <v>408</v>
      </c>
      <c r="M57" s="92">
        <v>288</v>
      </c>
      <c r="N57" s="65">
        <v>234</v>
      </c>
      <c r="O57" s="141"/>
      <c r="P57" s="141"/>
      <c r="Q57" s="141"/>
      <c r="R57" s="141"/>
      <c r="S57" s="141"/>
      <c r="T57" s="61">
        <v>232.222222222222</v>
      </c>
      <c r="U57" s="92"/>
      <c r="V57" s="92"/>
      <c r="W57" s="92"/>
      <c r="X57" s="92"/>
      <c r="Y57" s="92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55" t="b">
        <f>FALSE()</f>
        <v>0</v>
      </c>
      <c r="AQ57" s="141"/>
      <c r="AR57" s="141"/>
      <c r="AS57" s="144"/>
      <c r="AT57" s="144"/>
      <c r="AU57" s="65">
        <v>491</v>
      </c>
      <c r="AV57" s="92">
        <v>309</v>
      </c>
      <c r="AW57" s="92">
        <v>182</v>
      </c>
      <c r="AX57" s="108">
        <v>0.62932790224032598</v>
      </c>
      <c r="AY57" s="141">
        <v>1820</v>
      </c>
      <c r="AZ57" s="141">
        <v>1450</v>
      </c>
      <c r="BA57" s="141">
        <v>140</v>
      </c>
      <c r="BB57" s="66">
        <v>369</v>
      </c>
      <c r="BC57" s="67">
        <v>135.7840702103</v>
      </c>
      <c r="BD57" s="68">
        <v>0.36797851005501298</v>
      </c>
      <c r="BE57" s="69">
        <v>233.2159297897</v>
      </c>
      <c r="BF57" s="141" t="s">
        <v>335</v>
      </c>
      <c r="BG57" s="141" t="s">
        <v>336</v>
      </c>
      <c r="BH57" s="70"/>
      <c r="BI57" s="70"/>
      <c r="BJ57" s="141"/>
      <c r="BK57" s="141"/>
      <c r="BL57" s="65" t="s">
        <v>239</v>
      </c>
      <c r="BM57" s="104">
        <v>161.69999999999999</v>
      </c>
      <c r="BN57" s="120"/>
      <c r="BO57" s="120"/>
      <c r="BP57" s="59"/>
      <c r="BQ57" s="71"/>
      <c r="BR57" s="120"/>
      <c r="BS57" s="115"/>
      <c r="BT57" s="115"/>
      <c r="BU57" s="115"/>
      <c r="BV57" s="115"/>
      <c r="BW57" s="115">
        <v>12</v>
      </c>
      <c r="BX57" s="120">
        <v>24</v>
      </c>
      <c r="BY57" s="120">
        <v>30</v>
      </c>
      <c r="BZ57" s="134"/>
      <c r="CA57" s="159" t="s">
        <v>337</v>
      </c>
      <c r="CB57" s="159" t="s">
        <v>197</v>
      </c>
      <c r="CC57" s="56" t="s">
        <v>198</v>
      </c>
      <c r="CD57" s="72" t="s">
        <v>338</v>
      </c>
      <c r="CE57" s="135" t="s">
        <v>200</v>
      </c>
      <c r="CF57" s="143"/>
      <c r="CG57" s="74">
        <v>78</v>
      </c>
      <c r="CH57" s="74">
        <v>3.67</v>
      </c>
      <c r="CI57" s="161">
        <v>286.26</v>
      </c>
      <c r="CJ57" s="74">
        <v>1.083</v>
      </c>
      <c r="CK57" s="161">
        <v>264.32132963988897</v>
      </c>
      <c r="CL57" s="161">
        <v>603.9</v>
      </c>
      <c r="CM57" s="74">
        <v>1.48E-3</v>
      </c>
      <c r="CN57" s="143">
        <v>2.1099999999999999E-3</v>
      </c>
      <c r="CO57" s="141">
        <v>1</v>
      </c>
      <c r="CP57" s="141">
        <v>96</v>
      </c>
      <c r="CQ57" s="141">
        <v>3</v>
      </c>
      <c r="CR57" s="145">
        <v>288</v>
      </c>
      <c r="CS57" s="79">
        <v>41</v>
      </c>
      <c r="CT57" s="79">
        <v>15.033333333333299</v>
      </c>
      <c r="CU57" s="79">
        <v>25.966666666666701</v>
      </c>
      <c r="CV57" s="79">
        <v>68.3333333333333</v>
      </c>
      <c r="CW57" s="79">
        <v>0</v>
      </c>
      <c r="CX57" s="79">
        <v>8.1999999999999993</v>
      </c>
      <c r="CY57" s="79">
        <v>6.6055099999999998</v>
      </c>
      <c r="CZ57" s="79">
        <v>48.419496666666703</v>
      </c>
      <c r="DA57" s="79">
        <v>27.3333333333333</v>
      </c>
      <c r="DB57" s="85">
        <v>0.49061440597420197</v>
      </c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2"/>
      <c r="EK57" s="82"/>
      <c r="EL57" s="82"/>
      <c r="EM57" s="82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  <c r="EZ57" s="81"/>
      <c r="FA57" s="81"/>
      <c r="FB57" s="81"/>
      <c r="FC57" s="81"/>
      <c r="FD57" s="81"/>
      <c r="FE57" s="153" t="b">
        <f>TRUE()</f>
        <v>1</v>
      </c>
      <c r="FF57" s="81"/>
      <c r="FG57" s="81"/>
      <c r="FH57" s="81"/>
      <c r="FI57" s="81"/>
      <c r="FJ57" s="81"/>
      <c r="FK57" s="81"/>
      <c r="FL57" s="81"/>
      <c r="FM57" s="81"/>
      <c r="FN57" s="81"/>
      <c r="FO57" s="81"/>
    </row>
    <row r="58" spans="1:171">
      <c r="A58" s="53">
        <v>63</v>
      </c>
      <c r="B58" s="53" t="s">
        <v>353</v>
      </c>
      <c r="C58" s="82" t="s">
        <v>333</v>
      </c>
      <c r="D58" s="133" t="s">
        <v>354</v>
      </c>
      <c r="E58" s="65" t="s">
        <v>346</v>
      </c>
      <c r="F58" s="82" t="s">
        <v>195</v>
      </c>
      <c r="G58" s="135">
        <v>2022</v>
      </c>
      <c r="H58" s="141">
        <v>77</v>
      </c>
      <c r="I58" s="83">
        <v>82</v>
      </c>
      <c r="J58" s="127">
        <v>0.93902439024390205</v>
      </c>
      <c r="K58" s="91">
        <v>352</v>
      </c>
      <c r="L58" s="92">
        <v>408</v>
      </c>
      <c r="M58" s="92">
        <v>288</v>
      </c>
      <c r="N58" s="65">
        <v>234</v>
      </c>
      <c r="O58" s="86">
        <v>4.7359999999999999E-2</v>
      </c>
      <c r="P58" s="176">
        <v>6.7519999999999997E-2</v>
      </c>
      <c r="Q58" s="141"/>
      <c r="R58" s="141"/>
      <c r="S58" s="141"/>
      <c r="T58" s="92"/>
      <c r="U58" s="92"/>
      <c r="V58" s="92"/>
      <c r="W58" s="92"/>
      <c r="X58" s="92"/>
      <c r="Y58" s="92"/>
      <c r="Z58" s="141"/>
      <c r="AA58" s="141"/>
      <c r="AB58" s="141"/>
      <c r="AC58" s="141"/>
      <c r="AD58" s="141"/>
      <c r="AE58" s="65">
        <v>28</v>
      </c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55" t="b">
        <f>FALSE()</f>
        <v>0</v>
      </c>
      <c r="AQ58" s="141"/>
      <c r="AR58" s="141">
        <v>8</v>
      </c>
      <c r="AS58" s="144">
        <v>100000</v>
      </c>
      <c r="AT58" s="144"/>
      <c r="AU58" s="65">
        <v>491</v>
      </c>
      <c r="AV58" s="92">
        <v>309</v>
      </c>
      <c r="AW58" s="92">
        <v>182</v>
      </c>
      <c r="AX58" s="108">
        <v>0.62932790224032598</v>
      </c>
      <c r="AY58" s="141">
        <v>1820</v>
      </c>
      <c r="AZ58" s="141">
        <v>1450</v>
      </c>
      <c r="BA58" s="141">
        <v>140</v>
      </c>
      <c r="BB58" s="66">
        <v>369.46</v>
      </c>
      <c r="BC58" s="67">
        <v>135.7840702103</v>
      </c>
      <c r="BD58" s="68">
        <v>0.36752035459941501</v>
      </c>
      <c r="BE58" s="69">
        <v>233.67592978970001</v>
      </c>
      <c r="BF58" s="141" t="s">
        <v>335</v>
      </c>
      <c r="BG58" s="141" t="s">
        <v>336</v>
      </c>
      <c r="BH58" s="70"/>
      <c r="BI58" s="70"/>
      <c r="BJ58" s="141"/>
      <c r="BK58" s="141"/>
      <c r="BL58" s="134"/>
      <c r="BM58" s="91">
        <v>167.00610997963301</v>
      </c>
      <c r="BN58" s="120">
        <v>221.94554214258699</v>
      </c>
      <c r="BO58" s="120"/>
      <c r="BP58" s="59"/>
      <c r="BQ58" s="71"/>
      <c r="BR58" s="120"/>
      <c r="BS58" s="115"/>
      <c r="BT58" s="115"/>
      <c r="BU58" s="115"/>
      <c r="BV58" s="115"/>
      <c r="BW58" s="115">
        <v>12</v>
      </c>
      <c r="BX58" s="115">
        <v>24</v>
      </c>
      <c r="BY58" s="120">
        <v>30</v>
      </c>
      <c r="BZ58" s="134"/>
      <c r="CA58" s="159" t="s">
        <v>337</v>
      </c>
      <c r="CB58" s="159" t="s">
        <v>197</v>
      </c>
      <c r="CC58" s="56" t="s">
        <v>198</v>
      </c>
      <c r="CD58" s="72" t="s">
        <v>338</v>
      </c>
      <c r="CE58" s="135" t="s">
        <v>200</v>
      </c>
      <c r="CF58" s="143"/>
      <c r="CG58" s="74">
        <v>78</v>
      </c>
      <c r="CH58" s="74">
        <v>3.67</v>
      </c>
      <c r="CI58" s="161">
        <v>286.26</v>
      </c>
      <c r="CJ58" s="74">
        <v>1.083</v>
      </c>
      <c r="CK58" s="161">
        <v>264.32132963988897</v>
      </c>
      <c r="CL58" s="161">
        <v>603.9</v>
      </c>
      <c r="CM58" s="74">
        <v>1.48E-3</v>
      </c>
      <c r="CN58" s="143">
        <v>2.1099999999999999E-3</v>
      </c>
      <c r="CO58" s="141">
        <v>1</v>
      </c>
      <c r="CP58" s="141">
        <v>96</v>
      </c>
      <c r="CQ58" s="141">
        <v>3</v>
      </c>
      <c r="CR58" s="145">
        <v>288</v>
      </c>
      <c r="CS58" s="79">
        <v>41</v>
      </c>
      <c r="CT58" s="79">
        <v>15.033333333333299</v>
      </c>
      <c r="CU58" s="79">
        <v>25.966666666666701</v>
      </c>
      <c r="CV58" s="79">
        <v>68.3333333333333</v>
      </c>
      <c r="CW58" s="79">
        <v>0</v>
      </c>
      <c r="CX58" s="79">
        <v>8.1999999999999993</v>
      </c>
      <c r="CY58" s="79">
        <v>6.6055099999999998</v>
      </c>
      <c r="CZ58" s="79">
        <v>48.419496666666703</v>
      </c>
      <c r="DA58" s="79">
        <v>27.3333333333333</v>
      </c>
      <c r="DB58" s="85">
        <v>0.49061440597420197</v>
      </c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2"/>
      <c r="EK58" s="82"/>
      <c r="EL58" s="82"/>
      <c r="EM58" s="82"/>
      <c r="EN58" s="81"/>
      <c r="EO58" s="81"/>
      <c r="EP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81"/>
      <c r="FC58" s="81"/>
      <c r="FD58" s="81"/>
      <c r="FE58" s="81"/>
      <c r="FF58" s="81"/>
      <c r="FG58" s="81"/>
      <c r="FH58" s="81"/>
      <c r="FI58" s="81"/>
      <c r="FJ58" s="81"/>
      <c r="FK58" s="81"/>
      <c r="FL58" s="81"/>
      <c r="FM58" s="81"/>
      <c r="FN58" s="81"/>
      <c r="FO58" s="81"/>
    </row>
    <row r="59" spans="1:171">
      <c r="A59" s="53">
        <v>64</v>
      </c>
      <c r="B59" s="53" t="s">
        <v>355</v>
      </c>
      <c r="C59" s="82" t="s">
        <v>333</v>
      </c>
      <c r="D59" s="133" t="s">
        <v>356</v>
      </c>
      <c r="E59" s="65" t="s">
        <v>346</v>
      </c>
      <c r="F59" s="82" t="s">
        <v>195</v>
      </c>
      <c r="G59" s="135">
        <v>2022</v>
      </c>
      <c r="H59" s="141">
        <v>77</v>
      </c>
      <c r="I59" s="83">
        <v>82</v>
      </c>
      <c r="J59" s="127">
        <v>0.93902439024390205</v>
      </c>
      <c r="K59" s="91">
        <v>352</v>
      </c>
      <c r="L59" s="92">
        <v>408</v>
      </c>
      <c r="M59" s="92">
        <v>288</v>
      </c>
      <c r="N59" s="65">
        <v>234</v>
      </c>
      <c r="O59" s="86">
        <v>4.7359999999999999E-2</v>
      </c>
      <c r="P59" s="176">
        <v>6.7519999999999997E-2</v>
      </c>
      <c r="Q59" s="141"/>
      <c r="R59" s="141"/>
      <c r="S59" s="141"/>
      <c r="T59" s="92"/>
      <c r="U59" s="92"/>
      <c r="V59" s="92"/>
      <c r="W59" s="92"/>
      <c r="X59" s="92"/>
      <c r="Y59" s="92"/>
      <c r="Z59" s="141"/>
      <c r="AA59" s="141"/>
      <c r="AB59" s="141"/>
      <c r="AC59" s="141"/>
      <c r="AD59" s="141"/>
      <c r="AE59" s="65">
        <v>28</v>
      </c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55" t="b">
        <f>FALSE()</f>
        <v>0</v>
      </c>
      <c r="AQ59" s="141"/>
      <c r="AR59" s="141">
        <v>8</v>
      </c>
      <c r="AS59" s="144">
        <v>100000</v>
      </c>
      <c r="AT59" s="144"/>
      <c r="AU59" s="65">
        <v>491</v>
      </c>
      <c r="AV59" s="92">
        <v>309</v>
      </c>
      <c r="AW59" s="92">
        <v>182</v>
      </c>
      <c r="AX59" s="108">
        <v>0.62932790224032598</v>
      </c>
      <c r="AY59" s="141">
        <v>1820</v>
      </c>
      <c r="AZ59" s="141">
        <v>1450</v>
      </c>
      <c r="BA59" s="141">
        <v>140</v>
      </c>
      <c r="BB59" s="66">
        <v>369.46</v>
      </c>
      <c r="BC59" s="67">
        <v>135.7840702103</v>
      </c>
      <c r="BD59" s="68">
        <v>0.36752035459941501</v>
      </c>
      <c r="BE59" s="69">
        <v>233.67592978970001</v>
      </c>
      <c r="BF59" s="141" t="s">
        <v>335</v>
      </c>
      <c r="BG59" s="141" t="s">
        <v>336</v>
      </c>
      <c r="BH59" s="70"/>
      <c r="BI59" s="70"/>
      <c r="BJ59" s="141"/>
      <c r="BK59" s="141"/>
      <c r="BL59" s="134" t="s">
        <v>239</v>
      </c>
      <c r="BM59" s="91">
        <v>167.00610997963301</v>
      </c>
      <c r="BN59" s="120">
        <v>221.94554214258699</v>
      </c>
      <c r="BO59" s="120"/>
      <c r="BP59" s="59"/>
      <c r="BQ59" s="71"/>
      <c r="BR59" s="120"/>
      <c r="BS59" s="115"/>
      <c r="BT59" s="115"/>
      <c r="BU59" s="115"/>
      <c r="BV59" s="115"/>
      <c r="BW59" s="115">
        <v>12</v>
      </c>
      <c r="BX59" s="115">
        <v>24</v>
      </c>
      <c r="BY59" s="120">
        <v>30</v>
      </c>
      <c r="BZ59" s="134"/>
      <c r="CA59" s="159" t="s">
        <v>337</v>
      </c>
      <c r="CB59" s="159" t="s">
        <v>197</v>
      </c>
      <c r="CC59" s="56" t="s">
        <v>198</v>
      </c>
      <c r="CD59" s="72" t="s">
        <v>338</v>
      </c>
      <c r="CE59" s="135" t="s">
        <v>200</v>
      </c>
      <c r="CF59" s="143"/>
      <c r="CG59" s="74">
        <v>78</v>
      </c>
      <c r="CH59" s="74">
        <v>3.67</v>
      </c>
      <c r="CI59" s="161">
        <v>286.26</v>
      </c>
      <c r="CJ59" s="74">
        <v>1.083</v>
      </c>
      <c r="CK59" s="161">
        <v>264.32132963988897</v>
      </c>
      <c r="CL59" s="161">
        <v>603.9</v>
      </c>
      <c r="CM59" s="74">
        <v>1.48E-3</v>
      </c>
      <c r="CN59" s="143">
        <v>2.1099999999999999E-3</v>
      </c>
      <c r="CO59" s="141">
        <v>1</v>
      </c>
      <c r="CP59" s="141">
        <v>96</v>
      </c>
      <c r="CQ59" s="141">
        <v>3</v>
      </c>
      <c r="CR59" s="145">
        <v>288</v>
      </c>
      <c r="CS59" s="79">
        <v>41</v>
      </c>
      <c r="CT59" s="79">
        <v>15.033333333333299</v>
      </c>
      <c r="CU59" s="79">
        <v>25.966666666666701</v>
      </c>
      <c r="CV59" s="79">
        <v>68.3333333333333</v>
      </c>
      <c r="CW59" s="79">
        <v>0</v>
      </c>
      <c r="CX59" s="79">
        <v>8.1999999999999993</v>
      </c>
      <c r="CY59" s="79">
        <v>6.6055099999999998</v>
      </c>
      <c r="CZ59" s="79">
        <v>48.419496666666703</v>
      </c>
      <c r="DA59" s="79">
        <v>27.3333333333333</v>
      </c>
      <c r="DB59" s="85">
        <v>0.49061440597420197</v>
      </c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2"/>
      <c r="EK59" s="82"/>
      <c r="EL59" s="82"/>
      <c r="EM59" s="82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</row>
    <row r="60" spans="1:171">
      <c r="A60" s="53">
        <v>64</v>
      </c>
      <c r="B60" s="53" t="s">
        <v>357</v>
      </c>
      <c r="C60" s="82" t="s">
        <v>333</v>
      </c>
      <c r="D60" s="133" t="s">
        <v>358</v>
      </c>
      <c r="E60" s="65" t="s">
        <v>346</v>
      </c>
      <c r="F60" s="82" t="s">
        <v>195</v>
      </c>
      <c r="G60" s="135">
        <v>2022</v>
      </c>
      <c r="H60" s="141">
        <v>77</v>
      </c>
      <c r="I60" s="83">
        <v>82</v>
      </c>
      <c r="J60" s="127">
        <v>0.93902439024390205</v>
      </c>
      <c r="K60" s="91">
        <v>352</v>
      </c>
      <c r="L60" s="92">
        <v>408</v>
      </c>
      <c r="M60" s="92">
        <v>288</v>
      </c>
      <c r="N60" s="65">
        <v>234</v>
      </c>
      <c r="O60" s="86">
        <v>4.7359999999999999E-2</v>
      </c>
      <c r="P60" s="176">
        <v>6.7519999999999997E-2</v>
      </c>
      <c r="Q60" s="141"/>
      <c r="R60" s="141"/>
      <c r="S60" s="141"/>
      <c r="T60" s="92"/>
      <c r="U60" s="92"/>
      <c r="V60" s="92"/>
      <c r="W60" s="92"/>
      <c r="X60" s="92"/>
      <c r="Y60" s="92"/>
      <c r="Z60" s="141"/>
      <c r="AA60" s="141"/>
      <c r="AB60" s="141"/>
      <c r="AC60" s="141"/>
      <c r="AD60" s="141"/>
      <c r="AE60" s="65">
        <v>28</v>
      </c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  <c r="AP60" s="155" t="b">
        <f>FALSE()</f>
        <v>0</v>
      </c>
      <c r="AQ60" s="141"/>
      <c r="AR60" s="141">
        <v>8</v>
      </c>
      <c r="AS60" s="144">
        <v>100000</v>
      </c>
      <c r="AT60" s="144"/>
      <c r="AU60" s="65">
        <v>491</v>
      </c>
      <c r="AV60" s="92">
        <v>309</v>
      </c>
      <c r="AW60" s="92">
        <v>182</v>
      </c>
      <c r="AX60" s="108">
        <v>0.62932790224032598</v>
      </c>
      <c r="AY60" s="141">
        <v>1820</v>
      </c>
      <c r="AZ60" s="141">
        <v>1450</v>
      </c>
      <c r="BA60" s="141">
        <v>140</v>
      </c>
      <c r="BB60" s="66">
        <v>369.46</v>
      </c>
      <c r="BC60" s="67">
        <v>135.7840702103</v>
      </c>
      <c r="BD60" s="68">
        <v>0.36752035459941501</v>
      </c>
      <c r="BE60" s="69">
        <v>233.67592978970001</v>
      </c>
      <c r="BF60" s="141" t="s">
        <v>335</v>
      </c>
      <c r="BG60" s="141" t="s">
        <v>336</v>
      </c>
      <c r="BH60" s="70"/>
      <c r="BI60" s="70"/>
      <c r="BJ60" s="141"/>
      <c r="BK60" s="141"/>
      <c r="BL60" s="134" t="s">
        <v>239</v>
      </c>
      <c r="BM60" s="91">
        <v>167.00610997963301</v>
      </c>
      <c r="BN60" s="120">
        <v>221.94554214258699</v>
      </c>
      <c r="BO60" s="120"/>
      <c r="BP60" s="59"/>
      <c r="BQ60" s="71"/>
      <c r="BR60" s="120"/>
      <c r="BS60" s="115"/>
      <c r="BT60" s="115"/>
      <c r="BU60" s="115"/>
      <c r="BV60" s="115"/>
      <c r="BW60" s="115">
        <v>12</v>
      </c>
      <c r="BX60" s="115">
        <v>24</v>
      </c>
      <c r="BY60" s="120">
        <v>30</v>
      </c>
      <c r="BZ60" s="134"/>
      <c r="CA60" s="159" t="s">
        <v>337</v>
      </c>
      <c r="CB60" s="159" t="s">
        <v>197</v>
      </c>
      <c r="CC60" s="56" t="s">
        <v>198</v>
      </c>
      <c r="CD60" s="72" t="s">
        <v>338</v>
      </c>
      <c r="CE60" s="135" t="s">
        <v>200</v>
      </c>
      <c r="CF60" s="143"/>
      <c r="CG60" s="74">
        <v>78</v>
      </c>
      <c r="CH60" s="74">
        <v>3.67</v>
      </c>
      <c r="CI60" s="161">
        <v>286.26</v>
      </c>
      <c r="CJ60" s="74">
        <v>1.083</v>
      </c>
      <c r="CK60" s="161">
        <v>264.32132963988897</v>
      </c>
      <c r="CL60" s="161">
        <v>603.9</v>
      </c>
      <c r="CM60" s="74">
        <v>1.48E-3</v>
      </c>
      <c r="CN60" s="143">
        <v>2.1099999999999999E-3</v>
      </c>
      <c r="CO60" s="141">
        <v>1</v>
      </c>
      <c r="CP60" s="141">
        <v>96</v>
      </c>
      <c r="CQ60" s="141">
        <v>3</v>
      </c>
      <c r="CR60" s="145">
        <v>288</v>
      </c>
      <c r="CS60" s="79">
        <v>41</v>
      </c>
      <c r="CT60" s="79">
        <v>15.033333333333299</v>
      </c>
      <c r="CU60" s="79">
        <v>25.966666666666701</v>
      </c>
      <c r="CV60" s="79">
        <v>68.3333333333333</v>
      </c>
      <c r="CW60" s="79">
        <v>0</v>
      </c>
      <c r="CX60" s="79">
        <v>8.1999999999999993</v>
      </c>
      <c r="CY60" s="79">
        <v>6.6055099999999998</v>
      </c>
      <c r="CZ60" s="79">
        <v>48.419496666666703</v>
      </c>
      <c r="DA60" s="79">
        <v>27.3333333333333</v>
      </c>
      <c r="DB60" s="85">
        <v>0.49061440597420197</v>
      </c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2"/>
      <c r="EK60" s="82"/>
      <c r="EL60" s="82"/>
      <c r="EM60" s="82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</row>
    <row r="61" spans="1:171">
      <c r="A61" s="53">
        <v>49</v>
      </c>
      <c r="B61" s="53" t="s">
        <v>359</v>
      </c>
      <c r="C61" s="87" t="s">
        <v>360</v>
      </c>
      <c r="D61" s="88" t="s">
        <v>361</v>
      </c>
      <c r="E61" s="72"/>
      <c r="F61" s="87" t="s">
        <v>195</v>
      </c>
      <c r="G61" s="89">
        <v>2023</v>
      </c>
      <c r="H61" s="72"/>
      <c r="I61" s="90">
        <v>140</v>
      </c>
      <c r="J61" s="90"/>
      <c r="K61" s="71"/>
      <c r="L61" s="72"/>
      <c r="M61" s="72"/>
      <c r="N61" s="72"/>
      <c r="O61" s="72"/>
      <c r="P61" s="72"/>
      <c r="Q61" s="72"/>
      <c r="R61" s="72"/>
      <c r="S61" s="72"/>
      <c r="T61" s="138">
        <v>444.44444444444503</v>
      </c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>
        <v>28</v>
      </c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94"/>
      <c r="AT61" s="94"/>
      <c r="AU61" s="72">
        <v>727</v>
      </c>
      <c r="AV61" s="71">
        <v>491.11919999999998</v>
      </c>
      <c r="AW61" s="71">
        <v>235.88079999999999</v>
      </c>
      <c r="AX61" s="95">
        <v>0.67554222833562605</v>
      </c>
      <c r="AY61" s="119">
        <v>1580</v>
      </c>
      <c r="AZ61" s="119">
        <v>2020</v>
      </c>
      <c r="BA61" s="119">
        <v>140</v>
      </c>
      <c r="BB61" s="139">
        <v>446.82400000000001</v>
      </c>
      <c r="BC61" s="67">
        <v>202.31213872832399</v>
      </c>
      <c r="BD61" s="68">
        <v>0.45277813798794098</v>
      </c>
      <c r="BE61" s="69">
        <v>244.511861271676</v>
      </c>
      <c r="BF61" s="72" t="s">
        <v>362</v>
      </c>
      <c r="BG61" s="72"/>
      <c r="BH61" s="70"/>
      <c r="BI61" s="70"/>
      <c r="BJ61" s="72"/>
      <c r="BK61" s="72"/>
      <c r="BL61" s="72" t="s">
        <v>239</v>
      </c>
      <c r="BM61" s="66">
        <v>192.572214580468</v>
      </c>
      <c r="BN61" s="66">
        <v>313.32247148765498</v>
      </c>
      <c r="BO61" s="71">
        <v>611.34036374751599</v>
      </c>
      <c r="BP61" s="59"/>
      <c r="BQ61" s="71"/>
      <c r="BR61" s="71">
        <v>994.67451265922296</v>
      </c>
      <c r="BS61" s="72"/>
      <c r="BT61" s="72"/>
      <c r="BU61" s="72"/>
      <c r="BV61" s="72"/>
      <c r="BW61" s="72"/>
      <c r="BX61" s="72"/>
      <c r="BY61" s="72"/>
      <c r="BZ61" s="72"/>
      <c r="CA61" s="87" t="s">
        <v>259</v>
      </c>
      <c r="CB61" s="87" t="s">
        <v>363</v>
      </c>
      <c r="CC61" s="72" t="s">
        <v>364</v>
      </c>
      <c r="CD61" s="72" t="s">
        <v>199</v>
      </c>
      <c r="CE61" s="89" t="s">
        <v>225</v>
      </c>
      <c r="CF61" s="97"/>
      <c r="CG61" s="101">
        <v>182.5</v>
      </c>
      <c r="CH61" s="177">
        <v>3.55</v>
      </c>
      <c r="CI61" s="138">
        <v>648.14814814814804</v>
      </c>
      <c r="CJ61" s="98">
        <v>2.2736999999999998</v>
      </c>
      <c r="CK61" s="99">
        <v>285.063178144939</v>
      </c>
      <c r="CL61" s="99">
        <v>692</v>
      </c>
      <c r="CM61" s="96"/>
      <c r="CN61" s="96"/>
      <c r="CO61" s="72">
        <v>1</v>
      </c>
      <c r="CP61" s="72">
        <v>216</v>
      </c>
      <c r="CQ61" s="72">
        <v>1</v>
      </c>
      <c r="CR61" s="140">
        <v>216</v>
      </c>
      <c r="CS61" s="79">
        <v>76.2222222222222</v>
      </c>
      <c r="CT61" s="79">
        <v>21</v>
      </c>
      <c r="CU61" s="79">
        <v>45.8888888888889</v>
      </c>
      <c r="CV61" s="79">
        <v>115.111111111111</v>
      </c>
      <c r="CW61" s="79">
        <v>0</v>
      </c>
      <c r="CX61" s="79">
        <v>14</v>
      </c>
      <c r="CY61" s="79">
        <v>24.1111111111111</v>
      </c>
      <c r="CZ61" s="79">
        <v>77</v>
      </c>
      <c r="DA61" s="79">
        <v>45.8888888888889</v>
      </c>
      <c r="DB61" s="85">
        <v>0.57664679810484498</v>
      </c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2"/>
      <c r="EK61" s="82"/>
      <c r="EL61" s="82"/>
      <c r="EM61" s="82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</row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1001" s="178" customFormat="1"/>
    <row r="1002" s="178" customFormat="1"/>
    <row r="1003" s="178" customFormat="1"/>
    <row r="1004" s="178" customFormat="1"/>
    <row r="1005" s="178" customFormat="1"/>
    <row r="1006" s="178" customFormat="1"/>
    <row r="1007" s="178" customFormat="1"/>
    <row r="1008" s="178" customFormat="1"/>
    <row r="1009" s="178" customFormat="1"/>
    <row r="1010" s="178" customFormat="1"/>
    <row r="1011" s="178" customFormat="1"/>
    <row r="1012" s="178" customForma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</sheetData>
  <autoFilter ref="A3:FO1703"/>
  <mergeCells count="18">
    <mergeCell ref="CO2:CR2"/>
    <mergeCell ref="CS2:DB2"/>
    <mergeCell ref="DC2:FO2"/>
    <mergeCell ref="BO2:BQ2"/>
    <mergeCell ref="BR2:BS2"/>
    <mergeCell ref="BT2:BU2"/>
    <mergeCell ref="BW2:BZ2"/>
    <mergeCell ref="CA2:CN2"/>
    <mergeCell ref="AP2:AQ2"/>
    <mergeCell ref="AR2:AT2"/>
    <mergeCell ref="AY2:BA2"/>
    <mergeCell ref="BG2:BI2"/>
    <mergeCell ref="BJ2:BL2"/>
    <mergeCell ref="H2:I2"/>
    <mergeCell ref="O2:P2"/>
    <mergeCell ref="R2:Y2"/>
    <mergeCell ref="AA2:AI2"/>
    <mergeCell ref="AJ2:AO2"/>
  </mergeCells>
  <conditionalFormatting sqref="DC1:FO1">
    <cfRule type="colorScale" priority="2">
      <colorScale>
        <cfvo type="min"/>
        <cfvo type="max"/>
        <color rgb="FFFCFCFF"/>
        <color rgb="FF63BE7B"/>
      </colorScale>
    </cfRule>
  </conditionalFormatting>
  <conditionalFormatting sqref="DC1732:FO1732">
    <cfRule type="colorScale" priority="3">
      <colorScale>
        <cfvo type="min"/>
        <cfvo type="max"/>
        <color rgb="FFFCFCFF"/>
        <color rgb="FF63BE7B"/>
      </colorScale>
    </cfRule>
  </conditionalFormatting>
  <conditionalFormatting sqref="DC1731:FO1731">
    <cfRule type="colorScale" priority="4">
      <colorScale>
        <cfvo type="min"/>
        <cfvo type="max"/>
        <color rgb="FFFCFCFF"/>
        <color rgb="FF63BE7B"/>
      </colorScale>
    </cfRule>
  </conditionalFormatting>
  <conditionalFormatting sqref="DC1727:FO1758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DC1747:FO1747">
    <cfRule type="colorScale" priority="7">
      <colorScale>
        <cfvo type="min"/>
        <cfvo type="max"/>
        <color rgb="FFFCFCFF"/>
        <color rgb="FF63BE7B"/>
      </colorScale>
    </cfRule>
  </conditionalFormatting>
  <conditionalFormatting sqref="DC1742:FO1742">
    <cfRule type="colorScale" priority="8">
      <colorScale>
        <cfvo type="min"/>
        <cfvo type="max"/>
        <color rgb="FFFCFCFF"/>
        <color rgb="FF63BE7B"/>
      </colorScale>
    </cfRule>
  </conditionalFormatting>
  <conditionalFormatting sqref="DC1736:FO1736">
    <cfRule type="colorScale" priority="9">
      <colorScale>
        <cfvo type="min"/>
        <cfvo type="max"/>
        <color rgb="FFFCFCFF"/>
        <color rgb="FF63BE7B"/>
      </colorScale>
    </cfRule>
  </conditionalFormatting>
  <conditionalFormatting sqref="DC1737:FO1737">
    <cfRule type="colorScale" priority="10">
      <colorScale>
        <cfvo type="min"/>
        <cfvo type="max"/>
        <color rgb="FFFCFCFF"/>
        <color rgb="FF63BE7B"/>
      </colorScale>
    </cfRule>
  </conditionalFormatting>
  <conditionalFormatting sqref="DC1730:FO1730">
    <cfRule type="colorScale" priority="11">
      <colorScale>
        <cfvo type="min"/>
        <cfvo type="max"/>
        <color rgb="FFFCFCFF"/>
        <color rgb="FF63BE7B"/>
      </colorScale>
    </cfRule>
  </conditionalFormatting>
  <conditionalFormatting sqref="A4:B170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CD4:CD20 CD22:CD28 CD30 CD36:CD76 CD84:CD104 CD106:CD107 CD114 CD120:CD122 CD127:CD133 CD135 CD137:CD146 CD148:CD152 CD154 CD156:CD175 CD177:CD186 CD188:CD300 CD303:CD330 CD333:CD590 CD594:CD619 CD649:CD708 CD711:CD1023 CD1025:CD1050 CD1053:CD1060">
      <formula1>"LFP,LMO,LTO,NCA,NiCd,NMC,NMC111,NMC523,NMC622,NMC712,NMC811,NMC955,NMC9525,Na,PbA,NiMh,NCMA,SSB,NiFe,LMFP"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14282011572842852E484C28A10CF9" ma:contentTypeVersion="10" ma:contentTypeDescription="Create a new document." ma:contentTypeScope="" ma:versionID="59765441154a6ec587a35e9d108fe0cb">
  <xsd:schema xmlns:xsd="http://www.w3.org/2001/XMLSchema" xmlns:xs="http://www.w3.org/2001/XMLSchema" xmlns:p="http://schemas.microsoft.com/office/2006/metadata/properties" xmlns:ns2="94d4202c-f6f0-441f-87d4-b169c05d3530" xmlns:ns3="7db10612-276a-42e1-9c30-3fcfbf7392ea" targetNamespace="http://schemas.microsoft.com/office/2006/metadata/properties" ma:root="true" ma:fieldsID="a9b370621632cf161341102085738497" ns2:_="" ns3:_="">
    <xsd:import namespace="94d4202c-f6f0-441f-87d4-b169c05d3530"/>
    <xsd:import namespace="7db10612-276a-42e1-9c30-3fcfbf739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4202c-f6f0-441f-87d4-b169c05d3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10612-276a-42e1-9c30-3fcfbf7392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e973aa-d489-409f-a4d3-60ec6f7518c4}" ma:internalName="TaxCatchAll" ma:showField="CatchAllData" ma:web="7db10612-276a-42e1-9c30-3fcfbf739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10612-276a-42e1-9c30-3fcfbf7392ea" xsi:nil="true"/>
    <lcf76f155ced4ddcb4097134ff3c332f xmlns="94d4202c-f6f0-441f-87d4-b169c05d3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96FADE-F02F-437C-8F2F-C34D0AD91D88}"/>
</file>

<file path=customXml/itemProps2.xml><?xml version="1.0" encoding="utf-8"?>
<ds:datastoreItem xmlns:ds="http://schemas.openxmlformats.org/officeDocument/2006/customXml" ds:itemID="{4F7588E0-E426-4D0F-9943-44F0A9F6005C}"/>
</file>

<file path=customXml/itemProps3.xml><?xml version="1.0" encoding="utf-8"?>
<ds:datastoreItem xmlns:ds="http://schemas.openxmlformats.org/officeDocument/2006/customXml" ds:itemID="{D610AC73-9E65-410D-BC50-51270E150B5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dc:description/>
  <cp:lastModifiedBy>homeuser</cp:lastModifiedBy>
  <cp:revision>1</cp:revision>
  <dcterms:created xsi:type="dcterms:W3CDTF">2022-03-04T10:35:54Z</dcterms:created>
  <dcterms:modified xsi:type="dcterms:W3CDTF">2026-07-09T23:02:23Z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0x0101004214282011572842852E484C28A10CF9</vt:lpwstr>
  </property>
</Properties>
</file>